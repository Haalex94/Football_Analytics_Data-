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Documents\FUTBOL\"/>
    </mc:Choice>
  </mc:AlternateContent>
  <xr:revisionPtr revIDLastSave="0" documentId="13_ncr:1_{BE6694A9-C865-448E-86B2-F61DB9F54796}" xr6:coauthVersionLast="47" xr6:coauthVersionMax="47" xr10:uidLastSave="{00000000-0000-0000-0000-000000000000}"/>
  <bookViews>
    <workbookView xWindow="-120" yWindow="-120" windowWidth="29040" windowHeight="16440" firstSheet="21" activeTab="23" xr2:uid="{00000000-000D-0000-FFFF-FFFF00000000}"/>
  </bookViews>
  <sheets>
    <sheet name="Global" sheetId="1" r:id="rId1"/>
    <sheet name="Top 5 EU 95 + PL" sheetId="2" r:id="rId2"/>
    <sheet name="TOP 5 EU 1955" sheetId="3" r:id="rId3"/>
    <sheet name="TOP 5 EU AT" sheetId="4" r:id="rId4"/>
    <sheet name="Top 8 EU 95 + PL" sheetId="5" r:id="rId5"/>
    <sheet name="Top 8 EU 1955" sheetId="6" r:id="rId6"/>
    <sheet name="Top 8 EU AT" sheetId="7" r:id="rId7"/>
    <sheet name="PL 92" sheetId="8" r:id="rId8"/>
    <sheet name="PL 1955-92" sheetId="9" r:id="rId9"/>
    <sheet name="PL 1955" sheetId="10" r:id="rId10"/>
    <sheet name="PL AT" sheetId="11" r:id="rId11"/>
    <sheet name="Serie A 1994" sheetId="12" r:id="rId12"/>
    <sheet name="Serie A 1955" sheetId="13" r:id="rId13"/>
    <sheet name="Serie A AT" sheetId="14" r:id="rId14"/>
    <sheet name="Ligue 1 94" sheetId="15" r:id="rId15"/>
    <sheet name="Ligue 1 1955" sheetId="16" r:id="rId16"/>
    <sheet name="Ligue 1 AT" sheetId="17" r:id="rId17"/>
    <sheet name="Liga 1995" sheetId="18" r:id="rId18"/>
    <sheet name="Liga 1955" sheetId="19" r:id="rId19"/>
    <sheet name="Liga AT" sheetId="20" r:id="rId20"/>
    <sheet name=" Bundes 1995" sheetId="21" r:id="rId21"/>
    <sheet name="Bundes AT" sheetId="22" r:id="rId22"/>
    <sheet name="Eredivisie 95" sheetId="23" r:id="rId23"/>
    <sheet name="Eredivisie AT" sheetId="24" r:id="rId24"/>
    <sheet name="Liga NOS 1995" sheetId="25" r:id="rId25"/>
    <sheet name="Liga NOS 1955" sheetId="26" r:id="rId26"/>
    <sheet name="Liga NOS AT" sheetId="27" r:id="rId27"/>
    <sheet name=" Nemzeti Bajnokság I 1994" sheetId="28" r:id="rId28"/>
    <sheet name=" Nemzeti Bajnokság I 1955" sheetId="29" r:id="rId29"/>
    <sheet name=" Nemzeti Bajnokság I AT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7" i="30" l="1"/>
  <c r="H36" i="30"/>
  <c r="H35" i="30"/>
  <c r="H34" i="30"/>
  <c r="H33" i="30"/>
  <c r="H32" i="30"/>
  <c r="H31" i="30"/>
  <c r="H30" i="30"/>
  <c r="H29" i="30"/>
  <c r="H28" i="30"/>
  <c r="H27" i="30"/>
  <c r="H26" i="30"/>
  <c r="A26" i="30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H25" i="30"/>
  <c r="A25" i="30"/>
  <c r="H24" i="30"/>
  <c r="A24" i="30"/>
  <c r="H23" i="30"/>
  <c r="A23" i="30"/>
  <c r="Q17" i="30"/>
  <c r="H17" i="30"/>
  <c r="Q16" i="30"/>
  <c r="H16" i="30"/>
  <c r="Q15" i="30"/>
  <c r="H15" i="30"/>
  <c r="Q14" i="30"/>
  <c r="H14" i="30"/>
  <c r="Q13" i="30"/>
  <c r="H13" i="30"/>
  <c r="Q12" i="30"/>
  <c r="H12" i="30"/>
  <c r="Q11" i="30"/>
  <c r="H11" i="30"/>
  <c r="Q10" i="30"/>
  <c r="H10" i="30"/>
  <c r="Q9" i="30"/>
  <c r="H9" i="30"/>
  <c r="Q8" i="30"/>
  <c r="H8" i="30"/>
  <c r="Q7" i="30"/>
  <c r="K7" i="30"/>
  <c r="K8" i="30" s="1"/>
  <c r="K9" i="30" s="1"/>
  <c r="K10" i="30" s="1"/>
  <c r="K11" i="30" s="1"/>
  <c r="K12" i="30" s="1"/>
  <c r="K13" i="30" s="1"/>
  <c r="K14" i="30" s="1"/>
  <c r="K15" i="30" s="1"/>
  <c r="K16" i="30" s="1"/>
  <c r="K17" i="30" s="1"/>
  <c r="H7" i="30"/>
  <c r="Q6" i="30"/>
  <c r="H6" i="30"/>
  <c r="Q5" i="30"/>
  <c r="H5" i="30"/>
  <c r="Q4" i="30"/>
  <c r="H4" i="30"/>
  <c r="Q3" i="30"/>
  <c r="K3" i="30"/>
  <c r="K4" i="30" s="1"/>
  <c r="K5" i="30" s="1"/>
  <c r="K6" i="30" s="1"/>
  <c r="H3" i="30"/>
  <c r="A3" i="30"/>
  <c r="A4" i="30" s="1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Q30" i="29"/>
  <c r="Q29" i="29"/>
  <c r="Q28" i="29"/>
  <c r="H28" i="29"/>
  <c r="Q27" i="29"/>
  <c r="H27" i="29"/>
  <c r="Q26" i="29"/>
  <c r="H26" i="29"/>
  <c r="Q25" i="29"/>
  <c r="H25" i="29"/>
  <c r="Q24" i="29"/>
  <c r="H24" i="29"/>
  <c r="Q23" i="29"/>
  <c r="H23" i="29"/>
  <c r="Q22" i="29"/>
  <c r="K22" i="29"/>
  <c r="H22" i="29"/>
  <c r="A22" i="29"/>
  <c r="A23" i="29" s="1"/>
  <c r="A24" i="29" s="1"/>
  <c r="A25" i="29" s="1"/>
  <c r="A26" i="29" s="1"/>
  <c r="A27" i="29" s="1"/>
  <c r="A28" i="29" s="1"/>
  <c r="Q21" i="29"/>
  <c r="H21" i="29"/>
  <c r="A21" i="29"/>
  <c r="Q20" i="29"/>
  <c r="K20" i="29"/>
  <c r="K21" i="29" s="1"/>
  <c r="K23" i="29" s="1"/>
  <c r="H20" i="29"/>
  <c r="A20" i="29"/>
  <c r="Q19" i="29"/>
  <c r="H19" i="29"/>
  <c r="H13" i="29"/>
  <c r="Q12" i="29"/>
  <c r="H12" i="29"/>
  <c r="A12" i="29"/>
  <c r="A13" i="29" s="1"/>
  <c r="Q11" i="29"/>
  <c r="H11" i="29"/>
  <c r="Q10" i="29"/>
  <c r="H10" i="29"/>
  <c r="Q9" i="29"/>
  <c r="H9" i="29"/>
  <c r="Q8" i="29"/>
  <c r="H8" i="29"/>
  <c r="A8" i="29"/>
  <c r="A9" i="29" s="1"/>
  <c r="A10" i="29" s="1"/>
  <c r="A11" i="29" s="1"/>
  <c r="Q7" i="29"/>
  <c r="H7" i="29"/>
  <c r="Q6" i="29"/>
  <c r="H6" i="29"/>
  <c r="Q5" i="29"/>
  <c r="H5" i="29"/>
  <c r="Q4" i="29"/>
  <c r="K4" i="29"/>
  <c r="K5" i="29" s="1"/>
  <c r="K6" i="29" s="1"/>
  <c r="K7" i="29" s="1"/>
  <c r="K8" i="29" s="1"/>
  <c r="K9" i="29" s="1"/>
  <c r="K10" i="29" s="1"/>
  <c r="K11" i="29" s="1"/>
  <c r="K12" i="29" s="1"/>
  <c r="H4" i="29"/>
  <c r="A4" i="29"/>
  <c r="A5" i="29" s="1"/>
  <c r="A6" i="29" s="1"/>
  <c r="A7" i="29" s="1"/>
  <c r="Q3" i="29"/>
  <c r="K3" i="29"/>
  <c r="H3" i="29"/>
  <c r="P27" i="28"/>
  <c r="G27" i="28"/>
  <c r="P26" i="28"/>
  <c r="G26" i="28"/>
  <c r="P25" i="28"/>
  <c r="G25" i="28"/>
  <c r="P24" i="28"/>
  <c r="G24" i="28"/>
  <c r="P23" i="28"/>
  <c r="G23" i="28"/>
  <c r="P22" i="28"/>
  <c r="G22" i="28"/>
  <c r="P21" i="28"/>
  <c r="J21" i="28"/>
  <c r="G21" i="28"/>
  <c r="P20" i="28"/>
  <c r="G20" i="28"/>
  <c r="A20" i="28"/>
  <c r="A21" i="28" s="1"/>
  <c r="A22" i="28" s="1"/>
  <c r="A23" i="28" s="1"/>
  <c r="A24" i="28" s="1"/>
  <c r="A25" i="28" s="1"/>
  <c r="A26" i="28" s="1"/>
  <c r="A27" i="28" s="1"/>
  <c r="P19" i="28"/>
  <c r="J19" i="28"/>
  <c r="J20" i="28" s="1"/>
  <c r="G19" i="28"/>
  <c r="A19" i="28"/>
  <c r="P18" i="28"/>
  <c r="G18" i="28"/>
  <c r="P13" i="28"/>
  <c r="P12" i="28"/>
  <c r="G12" i="28"/>
  <c r="P11" i="28"/>
  <c r="G11" i="28"/>
  <c r="P10" i="28"/>
  <c r="G10" i="28"/>
  <c r="P9" i="28"/>
  <c r="G9" i="28"/>
  <c r="P8" i="28"/>
  <c r="J8" i="28"/>
  <c r="J9" i="28" s="1"/>
  <c r="J10" i="28" s="1"/>
  <c r="J11" i="28" s="1"/>
  <c r="J12" i="28" s="1"/>
  <c r="J13" i="28" s="1"/>
  <c r="G8" i="28"/>
  <c r="P7" i="28"/>
  <c r="G7" i="28"/>
  <c r="P6" i="28"/>
  <c r="G6" i="28"/>
  <c r="P5" i="28"/>
  <c r="G5" i="28"/>
  <c r="P4" i="28"/>
  <c r="J4" i="28"/>
  <c r="J5" i="28" s="1"/>
  <c r="J6" i="28" s="1"/>
  <c r="J7" i="28" s="1"/>
  <c r="G4" i="28"/>
  <c r="P3" i="28"/>
  <c r="G3" i="28"/>
  <c r="A3" i="28"/>
  <c r="A4" i="28" s="1"/>
  <c r="A5" i="28" s="1"/>
  <c r="A6" i="28" s="1"/>
  <c r="A7" i="28" s="1"/>
  <c r="A8" i="28" s="1"/>
  <c r="A9" i="28" s="1"/>
  <c r="A10" i="28" s="1"/>
  <c r="A11" i="28" s="1"/>
  <c r="A12" i="28" s="1"/>
  <c r="Q37" i="27"/>
  <c r="H37" i="27"/>
  <c r="Q36" i="27"/>
  <c r="H36" i="27"/>
  <c r="Q35" i="27"/>
  <c r="H35" i="27"/>
  <c r="Q34" i="27"/>
  <c r="H34" i="27"/>
  <c r="Q33" i="27"/>
  <c r="H33" i="27"/>
  <c r="Q32" i="27"/>
  <c r="H32" i="27"/>
  <c r="Q31" i="27"/>
  <c r="H31" i="27"/>
  <c r="Q30" i="27"/>
  <c r="K30" i="27"/>
  <c r="K31" i="27" s="1"/>
  <c r="K34" i="27" s="1"/>
  <c r="K35" i="27" s="1"/>
  <c r="K36" i="27" s="1"/>
  <c r="K37" i="27" s="1"/>
  <c r="H30" i="27"/>
  <c r="Q29" i="27"/>
  <c r="H29" i="27"/>
  <c r="Q28" i="27"/>
  <c r="H28" i="27"/>
  <c r="Q27" i="27"/>
  <c r="H27" i="27"/>
  <c r="Q26" i="27"/>
  <c r="K26" i="27"/>
  <c r="K27" i="27" s="1"/>
  <c r="K28" i="27" s="1"/>
  <c r="K29" i="27" s="1"/>
  <c r="H26" i="27"/>
  <c r="Q25" i="27"/>
  <c r="K25" i="27"/>
  <c r="H25" i="27"/>
  <c r="A25" i="27"/>
  <c r="A26" i="27" s="1"/>
  <c r="A27" i="27" s="1"/>
  <c r="A28" i="27" s="1"/>
  <c r="A29" i="27" s="1"/>
  <c r="A30" i="27" s="1"/>
  <c r="A31" i="27" s="1"/>
  <c r="A32" i="27" s="1"/>
  <c r="A33" i="27" s="1"/>
  <c r="A34" i="27" s="1"/>
  <c r="Q24" i="27"/>
  <c r="K24" i="27"/>
  <c r="H24" i="27"/>
  <c r="A24" i="27"/>
  <c r="Q23" i="27"/>
  <c r="H23" i="27"/>
  <c r="Q17" i="27"/>
  <c r="H17" i="27"/>
  <c r="Q16" i="27"/>
  <c r="H16" i="27"/>
  <c r="Q15" i="27"/>
  <c r="H15" i="27"/>
  <c r="Q14" i="27"/>
  <c r="H14" i="27"/>
  <c r="Q13" i="27"/>
  <c r="H13" i="27"/>
  <c r="Q12" i="27"/>
  <c r="H12" i="27"/>
  <c r="Q11" i="27"/>
  <c r="H11" i="27"/>
  <c r="Q10" i="27"/>
  <c r="H10" i="27"/>
  <c r="Q9" i="27"/>
  <c r="H9" i="27"/>
  <c r="Q8" i="27"/>
  <c r="H8" i="27"/>
  <c r="Q7" i="27"/>
  <c r="H7" i="27"/>
  <c r="Q6" i="27"/>
  <c r="H6" i="27"/>
  <c r="Q5" i="27"/>
  <c r="K5" i="27"/>
  <c r="K6" i="27" s="1"/>
  <c r="K7" i="27" s="1"/>
  <c r="K8" i="27" s="1"/>
  <c r="K9" i="27" s="1"/>
  <c r="K10" i="27" s="1"/>
  <c r="K11" i="27" s="1"/>
  <c r="K12" i="27" s="1"/>
  <c r="K13" i="27" s="1"/>
  <c r="K14" i="27" s="1"/>
  <c r="K15" i="27" s="1"/>
  <c r="K16" i="27" s="1"/>
  <c r="K17" i="27" s="1"/>
  <c r="H5" i="27"/>
  <c r="A5" i="27"/>
  <c r="A6" i="27" s="1"/>
  <c r="A7" i="27" s="1"/>
  <c r="A8" i="27" s="1"/>
  <c r="A9" i="27" s="1"/>
  <c r="A10" i="27" s="1"/>
  <c r="A11" i="27" s="1"/>
  <c r="A12" i="27" s="1"/>
  <c r="A13" i="27" s="1"/>
  <c r="Q4" i="27"/>
  <c r="K4" i="27"/>
  <c r="H4" i="27"/>
  <c r="A4" i="27"/>
  <c r="Q3" i="27"/>
  <c r="H3" i="27"/>
  <c r="Q29" i="26"/>
  <c r="H29" i="26"/>
  <c r="Q28" i="26"/>
  <c r="H28" i="26"/>
  <c r="Q27" i="26"/>
  <c r="K27" i="26"/>
  <c r="H27" i="26"/>
  <c r="Q26" i="26"/>
  <c r="H26" i="26"/>
  <c r="Q25" i="26"/>
  <c r="H25" i="26"/>
  <c r="Q24" i="26"/>
  <c r="H24" i="26"/>
  <c r="Q23" i="26"/>
  <c r="K23" i="26"/>
  <c r="K24" i="26" s="1"/>
  <c r="K25" i="26" s="1"/>
  <c r="K26" i="26" s="1"/>
  <c r="H23" i="26"/>
  <c r="Q22" i="26"/>
  <c r="H22" i="26"/>
  <c r="Q21" i="26"/>
  <c r="H21" i="26"/>
  <c r="Q20" i="26"/>
  <c r="H20" i="26"/>
  <c r="A20" i="26"/>
  <c r="A21" i="26" s="1"/>
  <c r="A22" i="26" s="1"/>
  <c r="A23" i="26" s="1"/>
  <c r="A24" i="26" s="1"/>
  <c r="A25" i="26" s="1"/>
  <c r="A26" i="26" s="1"/>
  <c r="Q19" i="26"/>
  <c r="K19" i="26"/>
  <c r="K20" i="26" s="1"/>
  <c r="K21" i="26" s="1"/>
  <c r="K22" i="26" s="1"/>
  <c r="H19" i="26"/>
  <c r="A19" i="26"/>
  <c r="Q18" i="26"/>
  <c r="H18" i="26"/>
  <c r="H13" i="26"/>
  <c r="Q12" i="26"/>
  <c r="H12" i="26"/>
  <c r="Q11" i="26"/>
  <c r="H11" i="26"/>
  <c r="A11" i="26"/>
  <c r="Q10" i="26"/>
  <c r="K10" i="26"/>
  <c r="K11" i="26" s="1"/>
  <c r="K12" i="26" s="1"/>
  <c r="H10" i="26"/>
  <c r="Q9" i="26"/>
  <c r="H9" i="26"/>
  <c r="Q8" i="26"/>
  <c r="H8" i="26"/>
  <c r="Q7" i="26"/>
  <c r="H7" i="26"/>
  <c r="A7" i="26"/>
  <c r="A8" i="26" s="1"/>
  <c r="A9" i="26" s="1"/>
  <c r="A10" i="26" s="1"/>
  <c r="Q6" i="26"/>
  <c r="K6" i="26"/>
  <c r="K7" i="26" s="1"/>
  <c r="K8" i="26" s="1"/>
  <c r="K9" i="26" s="1"/>
  <c r="H6" i="26"/>
  <c r="Q5" i="26"/>
  <c r="K5" i="26"/>
  <c r="H5" i="26"/>
  <c r="Q4" i="26"/>
  <c r="K4" i="26"/>
  <c r="H4" i="26"/>
  <c r="Q3" i="26"/>
  <c r="H3" i="26"/>
  <c r="A3" i="26"/>
  <c r="A4" i="26" s="1"/>
  <c r="A5" i="26" s="1"/>
  <c r="A6" i="26" s="1"/>
  <c r="P29" i="25"/>
  <c r="G29" i="25"/>
  <c r="P28" i="25"/>
  <c r="G28" i="25"/>
  <c r="P27" i="25"/>
  <c r="G27" i="25"/>
  <c r="P26" i="25"/>
  <c r="G26" i="25"/>
  <c r="A26" i="25"/>
  <c r="P25" i="25"/>
  <c r="G25" i="25"/>
  <c r="P24" i="25"/>
  <c r="G24" i="25"/>
  <c r="P23" i="25"/>
  <c r="G23" i="25"/>
  <c r="P22" i="25"/>
  <c r="G22" i="25"/>
  <c r="A22" i="25"/>
  <c r="A23" i="25" s="1"/>
  <c r="A24" i="25" s="1"/>
  <c r="A25" i="25" s="1"/>
  <c r="A27" i="25" s="1"/>
  <c r="A28" i="25" s="1"/>
  <c r="A29" i="25" s="1"/>
  <c r="P21" i="25"/>
  <c r="J21" i="25"/>
  <c r="J23" i="25" s="1"/>
  <c r="J22" i="25" s="1"/>
  <c r="G21" i="25"/>
  <c r="A21" i="25"/>
  <c r="P20" i="25"/>
  <c r="G20" i="25"/>
  <c r="G15" i="25"/>
  <c r="G14" i="25"/>
  <c r="G13" i="25"/>
  <c r="P12" i="25"/>
  <c r="G12" i="25"/>
  <c r="P11" i="25"/>
  <c r="G11" i="25"/>
  <c r="P10" i="25"/>
  <c r="G10" i="25"/>
  <c r="P9" i="25"/>
  <c r="G9" i="25"/>
  <c r="P8" i="25"/>
  <c r="G8" i="25"/>
  <c r="P7" i="25"/>
  <c r="G7" i="25"/>
  <c r="P6" i="25"/>
  <c r="G6" i="25"/>
  <c r="P5" i="25"/>
  <c r="G5" i="25"/>
  <c r="P4" i="25"/>
  <c r="J4" i="25"/>
  <c r="J5" i="25" s="1"/>
  <c r="J6" i="25" s="1"/>
  <c r="J7" i="25" s="1"/>
  <c r="J8" i="25" s="1"/>
  <c r="J9" i="25" s="1"/>
  <c r="J10" i="25" s="1"/>
  <c r="J11" i="25" s="1"/>
  <c r="J12" i="25" s="1"/>
  <c r="G4" i="25"/>
  <c r="P3" i="25"/>
  <c r="G3" i="25"/>
  <c r="A3" i="25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Q42" i="24"/>
  <c r="Q41" i="24"/>
  <c r="H41" i="24"/>
  <c r="Q40" i="24"/>
  <c r="H40" i="24"/>
  <c r="Q39" i="24"/>
  <c r="H39" i="24"/>
  <c r="Q38" i="24"/>
  <c r="H38" i="24"/>
  <c r="Q37" i="24"/>
  <c r="H37" i="24"/>
  <c r="Q36" i="24"/>
  <c r="H36" i="24"/>
  <c r="Q35" i="24"/>
  <c r="H35" i="24"/>
  <c r="Q34" i="24"/>
  <c r="H34" i="24"/>
  <c r="Q33" i="24"/>
  <c r="H33" i="24"/>
  <c r="Q32" i="24"/>
  <c r="H32" i="24"/>
  <c r="Q31" i="24"/>
  <c r="H31" i="24"/>
  <c r="Q30" i="24"/>
  <c r="H30" i="24"/>
  <c r="Q29" i="24"/>
  <c r="H29" i="24"/>
  <c r="Q28" i="24"/>
  <c r="H28" i="24"/>
  <c r="Q27" i="24"/>
  <c r="H27" i="24"/>
  <c r="A27" i="24"/>
  <c r="A28" i="24" s="1"/>
  <c r="A29" i="24" s="1"/>
  <c r="A30" i="24" s="1"/>
  <c r="A31" i="24" s="1"/>
  <c r="Q26" i="24"/>
  <c r="K26" i="24"/>
  <c r="K27" i="24" s="1"/>
  <c r="K28" i="24" s="1"/>
  <c r="H26" i="24"/>
  <c r="Q25" i="24"/>
  <c r="K25" i="24"/>
  <c r="H25" i="24"/>
  <c r="A25" i="24"/>
  <c r="A26" i="24" s="1"/>
  <c r="Q24" i="24"/>
  <c r="H24" i="24"/>
  <c r="H18" i="24"/>
  <c r="Q17" i="24"/>
  <c r="H17" i="24"/>
  <c r="Q16" i="24"/>
  <c r="H16" i="24"/>
  <c r="Q15" i="24"/>
  <c r="H15" i="24"/>
  <c r="Q14" i="24"/>
  <c r="H14" i="24"/>
  <c r="Q13" i="24"/>
  <c r="H13" i="24"/>
  <c r="Q12" i="24"/>
  <c r="H12" i="24"/>
  <c r="Q11" i="24"/>
  <c r="H11" i="24"/>
  <c r="Q10" i="24"/>
  <c r="H10" i="24"/>
  <c r="Q9" i="24"/>
  <c r="H9" i="24"/>
  <c r="A9" i="24"/>
  <c r="A10" i="24" s="1"/>
  <c r="A11" i="24" s="1"/>
  <c r="A12" i="24" s="1"/>
  <c r="A13" i="24" s="1"/>
  <c r="A14" i="24" s="1"/>
  <c r="A15" i="24" s="1"/>
  <c r="A16" i="24" s="1"/>
  <c r="A17" i="24" s="1"/>
  <c r="A18" i="24" s="1"/>
  <c r="Q8" i="24"/>
  <c r="K8" i="24"/>
  <c r="K9" i="24" s="1"/>
  <c r="K10" i="24" s="1"/>
  <c r="K11" i="24" s="1"/>
  <c r="K12" i="24" s="1"/>
  <c r="K13" i="24" s="1"/>
  <c r="K14" i="24" s="1"/>
  <c r="K15" i="24" s="1"/>
  <c r="K16" i="24" s="1"/>
  <c r="K17" i="24" s="1"/>
  <c r="H8" i="24"/>
  <c r="Q7" i="24"/>
  <c r="H7" i="24"/>
  <c r="Q6" i="24"/>
  <c r="H6" i="24"/>
  <c r="Q5" i="24"/>
  <c r="H5" i="24"/>
  <c r="A5" i="24"/>
  <c r="A6" i="24" s="1"/>
  <c r="A7" i="24" s="1"/>
  <c r="A8" i="24" s="1"/>
  <c r="Q4" i="24"/>
  <c r="K4" i="24"/>
  <c r="K5" i="24" s="1"/>
  <c r="K6" i="24" s="1"/>
  <c r="K7" i="24" s="1"/>
  <c r="H4" i="24"/>
  <c r="A4" i="24"/>
  <c r="Q3" i="24"/>
  <c r="H3" i="24"/>
  <c r="P30" i="23"/>
  <c r="G30" i="23"/>
  <c r="P29" i="23"/>
  <c r="G29" i="23"/>
  <c r="P28" i="23"/>
  <c r="G28" i="23"/>
  <c r="P27" i="23"/>
  <c r="G27" i="23"/>
  <c r="P26" i="23"/>
  <c r="G26" i="23"/>
  <c r="P25" i="23"/>
  <c r="G25" i="23"/>
  <c r="P24" i="23"/>
  <c r="G24" i="23"/>
  <c r="A24" i="23"/>
  <c r="A25" i="23" s="1"/>
  <c r="A26" i="23" s="1"/>
  <c r="A27" i="23" s="1"/>
  <c r="A28" i="23" s="1"/>
  <c r="A29" i="23" s="1"/>
  <c r="A30" i="23" s="1"/>
  <c r="P23" i="23"/>
  <c r="G23" i="23"/>
  <c r="P22" i="23"/>
  <c r="G22" i="23"/>
  <c r="P21" i="23"/>
  <c r="G21" i="23"/>
  <c r="P20" i="23"/>
  <c r="G20" i="23"/>
  <c r="A20" i="23"/>
  <c r="A21" i="23" s="1"/>
  <c r="A22" i="23" s="1"/>
  <c r="A23" i="23" s="1"/>
  <c r="P19" i="23"/>
  <c r="G19" i="23"/>
  <c r="P18" i="23"/>
  <c r="J18" i="23"/>
  <c r="J19" i="23" s="1"/>
  <c r="J20" i="23" s="1"/>
  <c r="J21" i="23" s="1"/>
  <c r="J22" i="23" s="1"/>
  <c r="J23" i="23" s="1"/>
  <c r="J24" i="23" s="1"/>
  <c r="J25" i="23" s="1"/>
  <c r="J26" i="23" s="1"/>
  <c r="J27" i="23" s="1"/>
  <c r="J28" i="23" s="1"/>
  <c r="J29" i="23" s="1"/>
  <c r="J30" i="23" s="1"/>
  <c r="G18" i="23"/>
  <c r="P17" i="23"/>
  <c r="G17" i="23"/>
  <c r="A17" i="23"/>
  <c r="A18" i="23" s="1"/>
  <c r="A19" i="23" s="1"/>
  <c r="P13" i="23"/>
  <c r="G13" i="23"/>
  <c r="P12" i="23"/>
  <c r="G12" i="23"/>
  <c r="P11" i="23"/>
  <c r="G11" i="23"/>
  <c r="P10" i="23"/>
  <c r="G10" i="23"/>
  <c r="P9" i="23"/>
  <c r="J9" i="23"/>
  <c r="J10" i="23" s="1"/>
  <c r="J11" i="23" s="1"/>
  <c r="J12" i="23" s="1"/>
  <c r="J13" i="23" s="1"/>
  <c r="G9" i="23"/>
  <c r="P8" i="23"/>
  <c r="G8" i="23"/>
  <c r="P7" i="23"/>
  <c r="G7" i="23"/>
  <c r="P6" i="23"/>
  <c r="G6" i="23"/>
  <c r="P5" i="23"/>
  <c r="J5" i="23"/>
  <c r="J6" i="23" s="1"/>
  <c r="J7" i="23" s="1"/>
  <c r="J8" i="23" s="1"/>
  <c r="G5" i="23"/>
  <c r="P4" i="23"/>
  <c r="J4" i="23"/>
  <c r="G4" i="2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P3" i="23"/>
  <c r="G3" i="23"/>
  <c r="Q38" i="22"/>
  <c r="H38" i="22"/>
  <c r="Q37" i="22"/>
  <c r="H37" i="22"/>
  <c r="Q36" i="22"/>
  <c r="H36" i="22"/>
  <c r="Q35" i="22"/>
  <c r="H35" i="22"/>
  <c r="Q34" i="22"/>
  <c r="H34" i="22"/>
  <c r="Q33" i="22"/>
  <c r="H33" i="22"/>
  <c r="Q32" i="22"/>
  <c r="H32" i="22"/>
  <c r="Q31" i="22"/>
  <c r="H31" i="22"/>
  <c r="Q30" i="22"/>
  <c r="H30" i="22"/>
  <c r="Q29" i="22"/>
  <c r="H29" i="22"/>
  <c r="Q28" i="22"/>
  <c r="H28" i="22"/>
  <c r="Q27" i="22"/>
  <c r="H27" i="22"/>
  <c r="Q26" i="22"/>
  <c r="H26" i="22"/>
  <c r="Q25" i="22"/>
  <c r="K25" i="22"/>
  <c r="K26" i="22" s="1"/>
  <c r="K27" i="22" s="1"/>
  <c r="K28" i="22" s="1"/>
  <c r="K29" i="22" s="1"/>
  <c r="K30" i="22" s="1"/>
  <c r="K31" i="22" s="1"/>
  <c r="K32" i="22" s="1"/>
  <c r="K33" i="22" s="1"/>
  <c r="H25" i="22"/>
  <c r="A25" i="22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Q24" i="22"/>
  <c r="H24" i="22"/>
  <c r="H20" i="22"/>
  <c r="H19" i="22"/>
  <c r="H18" i="22"/>
  <c r="Q17" i="22"/>
  <c r="H17" i="22"/>
  <c r="Q16" i="22"/>
  <c r="H16" i="22"/>
  <c r="Q15" i="22"/>
  <c r="H15" i="22"/>
  <c r="Q14" i="22"/>
  <c r="H14" i="22"/>
  <c r="Q13" i="22"/>
  <c r="H13" i="22"/>
  <c r="Q12" i="22"/>
  <c r="H12" i="22"/>
  <c r="Q11" i="22"/>
  <c r="H11" i="22"/>
  <c r="Q10" i="22"/>
  <c r="H10" i="22"/>
  <c r="Q9" i="22"/>
  <c r="H9" i="22"/>
  <c r="Q8" i="22"/>
  <c r="H8" i="22"/>
  <c r="A8" i="22"/>
  <c r="Q7" i="22"/>
  <c r="H7" i="22"/>
  <c r="Q6" i="22"/>
  <c r="H6" i="22"/>
  <c r="A6" i="22"/>
  <c r="A7" i="22" s="1"/>
  <c r="A9" i="22" s="1"/>
  <c r="Q5" i="22"/>
  <c r="H5" i="22"/>
  <c r="Q4" i="22"/>
  <c r="H4" i="22"/>
  <c r="Q3" i="22"/>
  <c r="K3" i="22"/>
  <c r="K4" i="22" s="1"/>
  <c r="K5" i="22" s="1"/>
  <c r="K6" i="22" s="1"/>
  <c r="K7" i="22" s="1"/>
  <c r="K8" i="22" s="1"/>
  <c r="K9" i="22" s="1"/>
  <c r="K10" i="22" s="1"/>
  <c r="H3" i="22"/>
  <c r="A3" i="22"/>
  <c r="P28" i="21"/>
  <c r="P27" i="21"/>
  <c r="G27" i="21"/>
  <c r="P26" i="21"/>
  <c r="G26" i="21"/>
  <c r="P25" i="21"/>
  <c r="G25" i="21"/>
  <c r="P24" i="21"/>
  <c r="G24" i="21"/>
  <c r="P23" i="21"/>
  <c r="G23" i="21"/>
  <c r="P22" i="21"/>
  <c r="G22" i="21"/>
  <c r="P21" i="21"/>
  <c r="G21" i="21"/>
  <c r="P20" i="21"/>
  <c r="G20" i="21"/>
  <c r="P19" i="21"/>
  <c r="J19" i="21"/>
  <c r="J20" i="21" s="1"/>
  <c r="J21" i="21" s="1"/>
  <c r="J22" i="21" s="1"/>
  <c r="J23" i="21" s="1"/>
  <c r="J24" i="21" s="1"/>
  <c r="J25" i="21" s="1"/>
  <c r="J26" i="21" s="1"/>
  <c r="J27" i="21" s="1"/>
  <c r="J28" i="21" s="1"/>
  <c r="G19" i="21"/>
  <c r="A19" i="21"/>
  <c r="A20" i="21" s="1"/>
  <c r="A21" i="21" s="1"/>
  <c r="A22" i="21" s="1"/>
  <c r="A23" i="21" s="1"/>
  <c r="A24" i="21" s="1"/>
  <c r="A25" i="21" s="1"/>
  <c r="A26" i="21" s="1"/>
  <c r="A27" i="21" s="1"/>
  <c r="P18" i="21"/>
  <c r="G18" i="21"/>
  <c r="P12" i="21"/>
  <c r="G12" i="21"/>
  <c r="P11" i="21"/>
  <c r="G11" i="21"/>
  <c r="P10" i="21"/>
  <c r="G10" i="21"/>
  <c r="P9" i="21"/>
  <c r="G9" i="21"/>
  <c r="P8" i="21"/>
  <c r="G8" i="21"/>
  <c r="P7" i="21"/>
  <c r="J7" i="21"/>
  <c r="J8" i="21" s="1"/>
  <c r="J9" i="21" s="1"/>
  <c r="J10" i="21" s="1"/>
  <c r="J11" i="21" s="1"/>
  <c r="J12" i="21" s="1"/>
  <c r="G7" i="21"/>
  <c r="P6" i="21"/>
  <c r="G6" i="21"/>
  <c r="P5" i="21"/>
  <c r="J5" i="21"/>
  <c r="J6" i="21" s="1"/>
  <c r="G5" i="21"/>
  <c r="P4" i="21"/>
  <c r="J4" i="21"/>
  <c r="G4" i="21"/>
  <c r="P3" i="21"/>
  <c r="G3" i="21"/>
  <c r="A3" i="21"/>
  <c r="A4" i="21" s="1"/>
  <c r="A5" i="21" s="1"/>
  <c r="A6" i="21" s="1"/>
  <c r="A7" i="21" s="1"/>
  <c r="A8" i="21" s="1"/>
  <c r="A9" i="21" s="1"/>
  <c r="A10" i="21" s="1"/>
  <c r="A11" i="21" s="1"/>
  <c r="A12" i="21" s="1"/>
  <c r="Q38" i="20"/>
  <c r="Q37" i="20"/>
  <c r="H37" i="20"/>
  <c r="Q36" i="20"/>
  <c r="H36" i="20"/>
  <c r="Q35" i="20"/>
  <c r="H35" i="20"/>
  <c r="Q34" i="20"/>
  <c r="H34" i="20"/>
  <c r="Q33" i="20"/>
  <c r="H33" i="20"/>
  <c r="Q32" i="20"/>
  <c r="H32" i="20"/>
  <c r="Q31" i="20"/>
  <c r="H31" i="20"/>
  <c r="Q30" i="20"/>
  <c r="K30" i="20"/>
  <c r="H30" i="20"/>
  <c r="A30" i="20"/>
  <c r="A31" i="20" s="1"/>
  <c r="A32" i="20" s="1"/>
  <c r="A33" i="20" s="1"/>
  <c r="A34" i="20" s="1"/>
  <c r="A35" i="20" s="1"/>
  <c r="A36" i="20" s="1"/>
  <c r="A37" i="20" s="1"/>
  <c r="Q29" i="20"/>
  <c r="H29" i="20"/>
  <c r="Q28" i="20"/>
  <c r="H28" i="20"/>
  <c r="Q27" i="20"/>
  <c r="H27" i="20"/>
  <c r="Q26" i="20"/>
  <c r="K26" i="20"/>
  <c r="K27" i="20" s="1"/>
  <c r="K28" i="20" s="1"/>
  <c r="K29" i="20" s="1"/>
  <c r="K31" i="20" s="1"/>
  <c r="K32" i="20" s="1"/>
  <c r="K33" i="20" s="1"/>
  <c r="K34" i="20" s="1"/>
  <c r="K35" i="20" s="1"/>
  <c r="K36" i="20" s="1"/>
  <c r="H26" i="20"/>
  <c r="A26" i="20"/>
  <c r="A27" i="20" s="1"/>
  <c r="A28" i="20" s="1"/>
  <c r="A29" i="20" s="1"/>
  <c r="Q25" i="20"/>
  <c r="K25" i="20"/>
  <c r="H25" i="20"/>
  <c r="A25" i="20"/>
  <c r="Q24" i="20"/>
  <c r="H24" i="20"/>
  <c r="A24" i="20"/>
  <c r="Q23" i="20"/>
  <c r="H23" i="20"/>
  <c r="Q18" i="20"/>
  <c r="H18" i="20"/>
  <c r="Q17" i="20"/>
  <c r="H17" i="20"/>
  <c r="Q16" i="20"/>
  <c r="H16" i="20"/>
  <c r="Q15" i="20"/>
  <c r="H15" i="20"/>
  <c r="Q14" i="20"/>
  <c r="H14" i="20"/>
  <c r="Q13" i="20"/>
  <c r="H13" i="20"/>
  <c r="Q12" i="20"/>
  <c r="H12" i="20"/>
  <c r="Q11" i="20"/>
  <c r="H11" i="20"/>
  <c r="Q10" i="20"/>
  <c r="H10" i="20"/>
  <c r="Q9" i="20"/>
  <c r="H9" i="20"/>
  <c r="Q8" i="20"/>
  <c r="H8" i="20"/>
  <c r="Q7" i="20"/>
  <c r="H7" i="20"/>
  <c r="Q6" i="20"/>
  <c r="K6" i="20"/>
  <c r="K7" i="20" s="1"/>
  <c r="K8" i="20" s="1"/>
  <c r="K9" i="20" s="1"/>
  <c r="H6" i="20"/>
  <c r="A6" i="20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Q5" i="20"/>
  <c r="H5" i="20"/>
  <c r="Q4" i="20"/>
  <c r="K4" i="20"/>
  <c r="K5" i="20" s="1"/>
  <c r="H4" i="20"/>
  <c r="A4" i="20"/>
  <c r="A5" i="20" s="1"/>
  <c r="Q3" i="20"/>
  <c r="H3" i="20"/>
  <c r="H27" i="19"/>
  <c r="Q26" i="19"/>
  <c r="H26" i="19"/>
  <c r="A26" i="19"/>
  <c r="A27" i="19" s="1"/>
  <c r="Q25" i="19"/>
  <c r="H25" i="19"/>
  <c r="Q24" i="19"/>
  <c r="H24" i="19"/>
  <c r="Q23" i="19"/>
  <c r="H23" i="19"/>
  <c r="Q22" i="19"/>
  <c r="H22" i="19"/>
  <c r="A22" i="19"/>
  <c r="A23" i="19" s="1"/>
  <c r="A24" i="19" s="1"/>
  <c r="A25" i="19" s="1"/>
  <c r="Q21" i="19"/>
  <c r="H21" i="19"/>
  <c r="Q20" i="19"/>
  <c r="K20" i="19"/>
  <c r="K21" i="19" s="1"/>
  <c r="K22" i="19" s="1"/>
  <c r="K23" i="19" s="1"/>
  <c r="H20" i="19"/>
  <c r="Q19" i="19"/>
  <c r="K19" i="19"/>
  <c r="H19" i="19"/>
  <c r="Q18" i="19"/>
  <c r="H18" i="19"/>
  <c r="A18" i="19"/>
  <c r="A19" i="19" s="1"/>
  <c r="A20" i="19" s="1"/>
  <c r="A21" i="19" s="1"/>
  <c r="Q17" i="19"/>
  <c r="H17" i="19"/>
  <c r="Q12" i="19"/>
  <c r="H12" i="19"/>
  <c r="Q11" i="19"/>
  <c r="H11" i="19"/>
  <c r="Q10" i="19"/>
  <c r="H10" i="19"/>
  <c r="Q9" i="19"/>
  <c r="H9" i="19"/>
  <c r="Q8" i="19"/>
  <c r="H8" i="19"/>
  <c r="Q7" i="19"/>
  <c r="H7" i="19"/>
  <c r="Q6" i="19"/>
  <c r="H6" i="19"/>
  <c r="Q5" i="19"/>
  <c r="H5" i="19"/>
  <c r="A5" i="19"/>
  <c r="A6" i="19" s="1"/>
  <c r="A7" i="19" s="1"/>
  <c r="A8" i="19" s="1"/>
  <c r="A9" i="19" s="1"/>
  <c r="A10" i="19" s="1"/>
  <c r="A11" i="19" s="1"/>
  <c r="A12" i="19" s="1"/>
  <c r="Q4" i="19"/>
  <c r="K4" i="19"/>
  <c r="K5" i="19" s="1"/>
  <c r="K6" i="19" s="1"/>
  <c r="K7" i="19" s="1"/>
  <c r="K8" i="19" s="1"/>
  <c r="K9" i="19" s="1"/>
  <c r="K10" i="19" s="1"/>
  <c r="H4" i="19"/>
  <c r="A4" i="19"/>
  <c r="Q3" i="19"/>
  <c r="H3" i="19"/>
  <c r="P26" i="18"/>
  <c r="G26" i="18"/>
  <c r="P25" i="18"/>
  <c r="G25" i="18"/>
  <c r="P24" i="18"/>
  <c r="G24" i="18"/>
  <c r="P23" i="18"/>
  <c r="G23" i="18"/>
  <c r="A23" i="18"/>
  <c r="A24" i="18" s="1"/>
  <c r="A25" i="18" s="1"/>
  <c r="A26" i="18" s="1"/>
  <c r="P22" i="18"/>
  <c r="G22" i="18"/>
  <c r="P21" i="18"/>
  <c r="G21" i="18"/>
  <c r="P20" i="18"/>
  <c r="J20" i="18"/>
  <c r="J21" i="18" s="1"/>
  <c r="J22" i="18" s="1"/>
  <c r="J23" i="18" s="1"/>
  <c r="J24" i="18" s="1"/>
  <c r="J25" i="18" s="1"/>
  <c r="J26" i="18" s="1"/>
  <c r="G20" i="18"/>
  <c r="P19" i="18"/>
  <c r="G19" i="18"/>
  <c r="A19" i="18"/>
  <c r="A21" i="18" s="1"/>
  <c r="A22" i="18" s="1"/>
  <c r="P18" i="18"/>
  <c r="J18" i="18"/>
  <c r="J19" i="18" s="1"/>
  <c r="G18" i="18"/>
  <c r="A18" i="18"/>
  <c r="P17" i="18"/>
  <c r="G17" i="18"/>
  <c r="G13" i="18"/>
  <c r="P12" i="18"/>
  <c r="G12" i="18"/>
  <c r="P11" i="18"/>
  <c r="G11" i="18"/>
  <c r="P10" i="18"/>
  <c r="G10" i="18"/>
  <c r="P9" i="18"/>
  <c r="G9" i="18"/>
  <c r="P8" i="18"/>
  <c r="J8" i="18"/>
  <c r="J9" i="18" s="1"/>
  <c r="J10" i="18" s="1"/>
  <c r="J11" i="18" s="1"/>
  <c r="J12" i="18" s="1"/>
  <c r="G8" i="18"/>
  <c r="P7" i="18"/>
  <c r="G7" i="18"/>
  <c r="P6" i="18"/>
  <c r="G6" i="18"/>
  <c r="P5" i="18"/>
  <c r="G5" i="18"/>
  <c r="P4" i="18"/>
  <c r="J4" i="18"/>
  <c r="J5" i="18" s="1"/>
  <c r="J6" i="18" s="1"/>
  <c r="J7" i="18" s="1"/>
  <c r="G4" i="18"/>
  <c r="A4" i="18"/>
  <c r="A5" i="18" s="1"/>
  <c r="A6" i="18" s="1"/>
  <c r="A7" i="18" s="1"/>
  <c r="A8" i="18" s="1"/>
  <c r="A9" i="18" s="1"/>
  <c r="A10" i="18" s="1"/>
  <c r="A11" i="18" s="1"/>
  <c r="A12" i="18" s="1"/>
  <c r="A13" i="18" s="1"/>
  <c r="P3" i="18"/>
  <c r="G3" i="18"/>
  <c r="Q36" i="17"/>
  <c r="H36" i="17"/>
  <c r="Q35" i="17"/>
  <c r="H35" i="17"/>
  <c r="Q34" i="17"/>
  <c r="H34" i="17"/>
  <c r="Q33" i="17"/>
  <c r="H33" i="17"/>
  <c r="Q32" i="17"/>
  <c r="H32" i="17"/>
  <c r="Q31" i="17"/>
  <c r="H31" i="17"/>
  <c r="Q30" i="17"/>
  <c r="H30" i="17"/>
  <c r="Q29" i="17"/>
  <c r="H29" i="17"/>
  <c r="Q28" i="17"/>
  <c r="K28" i="17"/>
  <c r="K27" i="17" s="1"/>
  <c r="H28" i="17"/>
  <c r="Q27" i="17"/>
  <c r="H27" i="17"/>
  <c r="Q26" i="17"/>
  <c r="H26" i="17"/>
  <c r="Q25" i="17"/>
  <c r="H25" i="17"/>
  <c r="Q24" i="17"/>
  <c r="K24" i="17"/>
  <c r="K26" i="17" s="1"/>
  <c r="H24" i="17"/>
  <c r="A24" i="17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Q23" i="17"/>
  <c r="H23" i="17"/>
  <c r="A23" i="17"/>
  <c r="Q22" i="17"/>
  <c r="K22" i="17"/>
  <c r="K23" i="17" s="1"/>
  <c r="H22" i="17"/>
  <c r="Q18" i="17"/>
  <c r="Q17" i="17"/>
  <c r="H17" i="17"/>
  <c r="Q16" i="17"/>
  <c r="H16" i="17"/>
  <c r="Q15" i="17"/>
  <c r="H15" i="17"/>
  <c r="Q14" i="17"/>
  <c r="H14" i="17"/>
  <c r="Q13" i="17"/>
  <c r="H13" i="17"/>
  <c r="Q12" i="17"/>
  <c r="H12" i="17"/>
  <c r="Q11" i="17"/>
  <c r="H11" i="17"/>
  <c r="Q10" i="17"/>
  <c r="H10" i="17"/>
  <c r="Q9" i="17"/>
  <c r="H9" i="17"/>
  <c r="Q8" i="17"/>
  <c r="H8" i="17"/>
  <c r="Q7" i="17"/>
  <c r="H7" i="17"/>
  <c r="Q6" i="17"/>
  <c r="H6" i="17"/>
  <c r="Q5" i="17"/>
  <c r="H5" i="17"/>
  <c r="Q4" i="17"/>
  <c r="K4" i="17"/>
  <c r="K5" i="17" s="1"/>
  <c r="K6" i="17" s="1"/>
  <c r="K7" i="17" s="1"/>
  <c r="K8" i="17" s="1"/>
  <c r="K9" i="17" s="1"/>
  <c r="K10" i="17" s="1"/>
  <c r="K11" i="17" s="1"/>
  <c r="K12" i="17" s="1"/>
  <c r="K13" i="17" s="1"/>
  <c r="K14" i="17" s="1"/>
  <c r="K15" i="17" s="1"/>
  <c r="K16" i="17" s="1"/>
  <c r="K17" i="17" s="1"/>
  <c r="K18" i="17" s="1"/>
  <c r="H4" i="17"/>
  <c r="A4" i="17"/>
  <c r="A5" i="17" s="1"/>
  <c r="A6" i="17" s="1"/>
  <c r="A7" i="17" s="1"/>
  <c r="A8" i="17" s="1"/>
  <c r="A9" i="17" s="1"/>
  <c r="A10" i="17" s="1"/>
  <c r="A11" i="17" s="1"/>
  <c r="A12" i="17" s="1"/>
  <c r="Q3" i="17"/>
  <c r="H3" i="17"/>
  <c r="Q29" i="16"/>
  <c r="Q28" i="16"/>
  <c r="H28" i="16"/>
  <c r="Q27" i="16"/>
  <c r="H27" i="16"/>
  <c r="Q26" i="16"/>
  <c r="H26" i="16"/>
  <c r="Q25" i="16"/>
  <c r="H25" i="16"/>
  <c r="Q24" i="16"/>
  <c r="H24" i="16"/>
  <c r="Q23" i="16"/>
  <c r="H23" i="16"/>
  <c r="Q22" i="16"/>
  <c r="H22" i="16"/>
  <c r="Q21" i="16"/>
  <c r="H21" i="16"/>
  <c r="A21" i="16"/>
  <c r="A22" i="16" s="1"/>
  <c r="A23" i="16" s="1"/>
  <c r="A24" i="16" s="1"/>
  <c r="A25" i="16" s="1"/>
  <c r="A26" i="16" s="1"/>
  <c r="Q20" i="16"/>
  <c r="K20" i="16"/>
  <c r="K21" i="16" s="1"/>
  <c r="H20" i="16"/>
  <c r="A20" i="16"/>
  <c r="Q19" i="16"/>
  <c r="K19" i="16"/>
  <c r="H19" i="16"/>
  <c r="H14" i="16"/>
  <c r="Q13" i="16"/>
  <c r="H13" i="16"/>
  <c r="Q12" i="16"/>
  <c r="H12" i="16"/>
  <c r="Q11" i="16"/>
  <c r="H11" i="16"/>
  <c r="Q10" i="16"/>
  <c r="H10" i="16"/>
  <c r="Q9" i="16"/>
  <c r="H9" i="16"/>
  <c r="Q8" i="16"/>
  <c r="H8" i="16"/>
  <c r="Q7" i="16"/>
  <c r="H7" i="16"/>
  <c r="Q6" i="16"/>
  <c r="H6" i="16"/>
  <c r="A6" i="16"/>
  <c r="A7" i="16" s="1"/>
  <c r="A8" i="16" s="1"/>
  <c r="A9" i="16" s="1"/>
  <c r="A10" i="16" s="1"/>
  <c r="A11" i="16" s="1"/>
  <c r="Q5" i="16"/>
  <c r="K5" i="16"/>
  <c r="K6" i="16" s="1"/>
  <c r="K7" i="16" s="1"/>
  <c r="K8" i="16" s="1"/>
  <c r="K9" i="16" s="1"/>
  <c r="K10" i="16" s="1"/>
  <c r="K11" i="16" s="1"/>
  <c r="K12" i="16" s="1"/>
  <c r="K13" i="16" s="1"/>
  <c r="H5" i="16"/>
  <c r="Q4" i="16"/>
  <c r="K4" i="16"/>
  <c r="H4" i="16"/>
  <c r="A4" i="16"/>
  <c r="A5" i="16" s="1"/>
  <c r="Q3" i="16"/>
  <c r="H3" i="16"/>
  <c r="G28" i="15"/>
  <c r="G27" i="15"/>
  <c r="P26" i="15"/>
  <c r="G26" i="15"/>
  <c r="P25" i="15"/>
  <c r="G25" i="15"/>
  <c r="P24" i="15"/>
  <c r="G24" i="15"/>
  <c r="P23" i="15"/>
  <c r="G23" i="15"/>
  <c r="P22" i="15"/>
  <c r="G22" i="15"/>
  <c r="P21" i="15"/>
  <c r="G21" i="15"/>
  <c r="P20" i="15"/>
  <c r="G20" i="15"/>
  <c r="P19" i="15"/>
  <c r="J19" i="15"/>
  <c r="J20" i="15" s="1"/>
  <c r="J21" i="15" s="1"/>
  <c r="J22" i="15" s="1"/>
  <c r="G19" i="15"/>
  <c r="P18" i="15"/>
  <c r="J18" i="15"/>
  <c r="G18" i="15"/>
  <c r="A18" i="15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P17" i="15"/>
  <c r="J17" i="15"/>
  <c r="G17" i="15"/>
  <c r="P12" i="15"/>
  <c r="G12" i="15"/>
  <c r="P11" i="15"/>
  <c r="G11" i="15"/>
  <c r="P10" i="15"/>
  <c r="G10" i="15"/>
  <c r="P9" i="15"/>
  <c r="G9" i="15"/>
  <c r="P8" i="15"/>
  <c r="G8" i="15"/>
  <c r="A8" i="15"/>
  <c r="A9" i="15" s="1"/>
  <c r="A10" i="15" s="1"/>
  <c r="A11" i="15" s="1"/>
  <c r="A12" i="15" s="1"/>
  <c r="P7" i="15"/>
  <c r="G7" i="15"/>
  <c r="P6" i="15"/>
  <c r="G6" i="15"/>
  <c r="P5" i="15"/>
  <c r="G5" i="15"/>
  <c r="P4" i="15"/>
  <c r="J4" i="15"/>
  <c r="J5" i="15" s="1"/>
  <c r="J6" i="15" s="1"/>
  <c r="J7" i="15" s="1"/>
  <c r="J8" i="15" s="1"/>
  <c r="J9" i="15" s="1"/>
  <c r="J10" i="15" s="1"/>
  <c r="J11" i="15" s="1"/>
  <c r="J12" i="15" s="1"/>
  <c r="G4" i="15"/>
  <c r="A4" i="15"/>
  <c r="A5" i="15" s="1"/>
  <c r="A6" i="15" s="1"/>
  <c r="A7" i="15" s="1"/>
  <c r="P3" i="15"/>
  <c r="J3" i="15"/>
  <c r="G3" i="15"/>
  <c r="Q35" i="14"/>
  <c r="H35" i="14"/>
  <c r="Q34" i="14"/>
  <c r="H34" i="14"/>
  <c r="Q33" i="14"/>
  <c r="H33" i="14"/>
  <c r="Q32" i="14"/>
  <c r="H32" i="14"/>
  <c r="Q31" i="14"/>
  <c r="H31" i="14"/>
  <c r="Q30" i="14"/>
  <c r="H30" i="14"/>
  <c r="Q29" i="14"/>
  <c r="H29" i="14"/>
  <c r="Q28" i="14"/>
  <c r="K28" i="14"/>
  <c r="K30" i="14" s="1"/>
  <c r="K33" i="14" s="1"/>
  <c r="K32" i="14" s="1"/>
  <c r="K31" i="14" s="1"/>
  <c r="H28" i="14"/>
  <c r="Q27" i="14"/>
  <c r="H27" i="14"/>
  <c r="Q26" i="14"/>
  <c r="H26" i="14"/>
  <c r="Q25" i="14"/>
  <c r="H25" i="14"/>
  <c r="Q24" i="14"/>
  <c r="K24" i="14"/>
  <c r="K25" i="14" s="1"/>
  <c r="K26" i="14" s="1"/>
  <c r="K27" i="14" s="1"/>
  <c r="K29" i="14" s="1"/>
  <c r="H24" i="14"/>
  <c r="Q23" i="14"/>
  <c r="H23" i="14"/>
  <c r="A23" i="14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Q22" i="14"/>
  <c r="K22" i="14"/>
  <c r="K23" i="14" s="1"/>
  <c r="H22" i="14"/>
  <c r="A22" i="14"/>
  <c r="Q21" i="14"/>
  <c r="H21" i="14"/>
  <c r="Q17" i="14"/>
  <c r="H17" i="14"/>
  <c r="Q16" i="14"/>
  <c r="H16" i="14"/>
  <c r="Q15" i="14"/>
  <c r="H15" i="14"/>
  <c r="Q14" i="14"/>
  <c r="H14" i="14"/>
  <c r="Q13" i="14"/>
  <c r="H13" i="14"/>
  <c r="Q12" i="14"/>
  <c r="H12" i="14"/>
  <c r="Q11" i="14"/>
  <c r="H11" i="14"/>
  <c r="Q10" i="14"/>
  <c r="H10" i="14"/>
  <c r="Q9" i="14"/>
  <c r="H9" i="14"/>
  <c r="Q8" i="14"/>
  <c r="H8" i="14"/>
  <c r="Q7" i="14"/>
  <c r="H7" i="14"/>
  <c r="Q6" i="14"/>
  <c r="H6" i="14"/>
  <c r="Q5" i="14"/>
  <c r="H5" i="14"/>
  <c r="A5" i="14"/>
  <c r="A6" i="14" s="1"/>
  <c r="A7" i="14" s="1"/>
  <c r="A8" i="14" s="1"/>
  <c r="A9" i="14" s="1"/>
  <c r="A10" i="14" s="1"/>
  <c r="A11" i="14" s="1"/>
  <c r="Q4" i="14"/>
  <c r="K4" i="14"/>
  <c r="K5" i="14" s="1"/>
  <c r="K6" i="14" s="1"/>
  <c r="K7" i="14" s="1"/>
  <c r="K8" i="14" s="1"/>
  <c r="K10" i="14" s="1"/>
  <c r="K9" i="14" s="1"/>
  <c r="K11" i="14" s="1"/>
  <c r="K12" i="14" s="1"/>
  <c r="K13" i="14" s="1"/>
  <c r="K14" i="14" s="1"/>
  <c r="K15" i="14" s="1"/>
  <c r="K16" i="14" s="1"/>
  <c r="K17" i="14" s="1"/>
  <c r="H4" i="14"/>
  <c r="A4" i="14"/>
  <c r="Q3" i="14"/>
  <c r="H3" i="14"/>
  <c r="Q28" i="13"/>
  <c r="H28" i="13"/>
  <c r="Q27" i="13"/>
  <c r="H27" i="13"/>
  <c r="Q26" i="13"/>
  <c r="K26" i="13"/>
  <c r="K28" i="13" s="1"/>
  <c r="H26" i="13"/>
  <c r="Q25" i="13"/>
  <c r="H25" i="13"/>
  <c r="Q24" i="13"/>
  <c r="H24" i="13"/>
  <c r="Q23" i="13"/>
  <c r="H23" i="13"/>
  <c r="Q22" i="13"/>
  <c r="K22" i="13"/>
  <c r="K23" i="13" s="1"/>
  <c r="K24" i="13" s="1"/>
  <c r="K25" i="13" s="1"/>
  <c r="K27" i="13" s="1"/>
  <c r="H22" i="13"/>
  <c r="Q21" i="13"/>
  <c r="H21" i="13"/>
  <c r="A21" i="13"/>
  <c r="A22" i="13" s="1"/>
  <c r="A23" i="13" s="1"/>
  <c r="A24" i="13" s="1"/>
  <c r="A25" i="13" s="1"/>
  <c r="A26" i="13" s="1"/>
  <c r="A27" i="13" s="1"/>
  <c r="A28" i="13" s="1"/>
  <c r="Q20" i="13"/>
  <c r="K20" i="13"/>
  <c r="K21" i="13" s="1"/>
  <c r="H20" i="13"/>
  <c r="A20" i="13"/>
  <c r="Q19" i="13"/>
  <c r="H19" i="13"/>
  <c r="Q15" i="13"/>
  <c r="Q14" i="13"/>
  <c r="Q13" i="13"/>
  <c r="Q12" i="13"/>
  <c r="H12" i="13"/>
  <c r="Q11" i="13"/>
  <c r="H11" i="13"/>
  <c r="Q10" i="13"/>
  <c r="H10" i="13"/>
  <c r="Q9" i="13"/>
  <c r="K9" i="13"/>
  <c r="K10" i="13" s="1"/>
  <c r="K11" i="13" s="1"/>
  <c r="K12" i="13" s="1"/>
  <c r="K13" i="13" s="1"/>
  <c r="K14" i="13" s="1"/>
  <c r="K15" i="13" s="1"/>
  <c r="H9" i="13"/>
  <c r="Q8" i="13"/>
  <c r="H8" i="13"/>
  <c r="Q7" i="13"/>
  <c r="H7" i="13"/>
  <c r="Q6" i="13"/>
  <c r="H6" i="13"/>
  <c r="Q5" i="13"/>
  <c r="K5" i="13"/>
  <c r="K6" i="13" s="1"/>
  <c r="K7" i="13" s="1"/>
  <c r="K8" i="13" s="1"/>
  <c r="H5" i="13"/>
  <c r="Q4" i="13"/>
  <c r="K4" i="13"/>
  <c r="H4" i="13"/>
  <c r="A4" i="13"/>
  <c r="A5" i="13" s="1"/>
  <c r="A6" i="13" s="1"/>
  <c r="A7" i="13" s="1"/>
  <c r="A8" i="13" s="1"/>
  <c r="A9" i="13" s="1"/>
  <c r="A10" i="13" s="1"/>
  <c r="A11" i="13" s="1"/>
  <c r="A12" i="13" s="1"/>
  <c r="Q3" i="13"/>
  <c r="H3" i="13"/>
  <c r="P26" i="12"/>
  <c r="P25" i="12"/>
  <c r="G25" i="12"/>
  <c r="P24" i="12"/>
  <c r="G24" i="12"/>
  <c r="P23" i="12"/>
  <c r="G23" i="12"/>
  <c r="P22" i="12"/>
  <c r="G22" i="12"/>
  <c r="P21" i="12"/>
  <c r="G21" i="12"/>
  <c r="P20" i="12"/>
  <c r="J20" i="12"/>
  <c r="J21" i="12" s="1"/>
  <c r="J22" i="12" s="1"/>
  <c r="J23" i="12" s="1"/>
  <c r="J24" i="12" s="1"/>
  <c r="J25" i="12" s="1"/>
  <c r="J26" i="12" s="1"/>
  <c r="G20" i="12"/>
  <c r="A20" i="12"/>
  <c r="A21" i="12" s="1"/>
  <c r="A22" i="12" s="1"/>
  <c r="A23" i="12" s="1"/>
  <c r="A24" i="12" s="1"/>
  <c r="A25" i="12" s="1"/>
  <c r="P19" i="12"/>
  <c r="G19" i="12"/>
  <c r="A19" i="12"/>
  <c r="P18" i="12"/>
  <c r="J18" i="12"/>
  <c r="J19" i="12" s="1"/>
  <c r="G18" i="12"/>
  <c r="P17" i="12"/>
  <c r="J17" i="12"/>
  <c r="G17" i="12"/>
  <c r="A17" i="12"/>
  <c r="A18" i="12" s="1"/>
  <c r="P16" i="12"/>
  <c r="G16" i="12"/>
  <c r="P12" i="12"/>
  <c r="G12" i="12"/>
  <c r="P11" i="12"/>
  <c r="G11" i="12"/>
  <c r="P10" i="12"/>
  <c r="G10" i="12"/>
  <c r="P9" i="12"/>
  <c r="G9" i="12"/>
  <c r="P8" i="12"/>
  <c r="G8" i="12"/>
  <c r="P7" i="12"/>
  <c r="J7" i="12"/>
  <c r="J8" i="12" s="1"/>
  <c r="G7" i="12"/>
  <c r="P6" i="12"/>
  <c r="G6" i="12"/>
  <c r="P5" i="12"/>
  <c r="G5" i="12"/>
  <c r="A5" i="12"/>
  <c r="A6" i="12" s="1"/>
  <c r="A7" i="12" s="1"/>
  <c r="A8" i="12" s="1"/>
  <c r="A9" i="12" s="1"/>
  <c r="A10" i="12" s="1"/>
  <c r="A11" i="12" s="1"/>
  <c r="A12" i="12" s="1"/>
  <c r="P4" i="12"/>
  <c r="J4" i="12"/>
  <c r="J6" i="12" s="1"/>
  <c r="J5" i="12" s="1"/>
  <c r="G4" i="12"/>
  <c r="A4" i="12"/>
  <c r="P3" i="12"/>
  <c r="G3" i="12"/>
  <c r="P39" i="11"/>
  <c r="P38" i="11"/>
  <c r="H38" i="11"/>
  <c r="P37" i="11"/>
  <c r="H37" i="11"/>
  <c r="P36" i="11"/>
  <c r="H36" i="11"/>
  <c r="P35" i="11"/>
  <c r="H35" i="11"/>
  <c r="P34" i="11"/>
  <c r="H34" i="11"/>
  <c r="P33" i="11"/>
  <c r="H33" i="11"/>
  <c r="P32" i="11"/>
  <c r="H32" i="11"/>
  <c r="P31" i="11"/>
  <c r="H31" i="11"/>
  <c r="P30" i="11"/>
  <c r="H30" i="11"/>
  <c r="P29" i="11"/>
  <c r="H29" i="11"/>
  <c r="P28" i="11"/>
  <c r="H28" i="11"/>
  <c r="P27" i="11"/>
  <c r="H27" i="11"/>
  <c r="P26" i="11"/>
  <c r="H26" i="11"/>
  <c r="P25" i="11"/>
  <c r="H25" i="11"/>
  <c r="A25" i="1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P24" i="11"/>
  <c r="J24" i="11"/>
  <c r="J25" i="11" s="1"/>
  <c r="J26" i="11" s="1"/>
  <c r="J27" i="11" s="1"/>
  <c r="J29" i="11" s="1"/>
  <c r="H24" i="11"/>
  <c r="A24" i="11"/>
  <c r="P23" i="11"/>
  <c r="H23" i="11"/>
  <c r="P18" i="11"/>
  <c r="H18" i="11"/>
  <c r="P17" i="11"/>
  <c r="H17" i="11"/>
  <c r="P16" i="11"/>
  <c r="H16" i="11"/>
  <c r="P15" i="11"/>
  <c r="H15" i="11"/>
  <c r="P14" i="11"/>
  <c r="H14" i="11"/>
  <c r="P13" i="11"/>
  <c r="H13" i="11"/>
  <c r="P12" i="11"/>
  <c r="H12" i="11"/>
  <c r="P11" i="11"/>
  <c r="H11" i="11"/>
  <c r="P10" i="11"/>
  <c r="H10" i="11"/>
  <c r="P9" i="11"/>
  <c r="H9" i="11"/>
  <c r="P8" i="11"/>
  <c r="J8" i="11"/>
  <c r="J9" i="11" s="1"/>
  <c r="J10" i="11" s="1"/>
  <c r="J12" i="11" s="1"/>
  <c r="H8" i="11"/>
  <c r="P7" i="11"/>
  <c r="H7" i="11"/>
  <c r="A7" i="1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P6" i="11"/>
  <c r="H6" i="11"/>
  <c r="P5" i="11"/>
  <c r="H5" i="11"/>
  <c r="P4" i="11"/>
  <c r="J4" i="11"/>
  <c r="J5" i="11" s="1"/>
  <c r="J6" i="11" s="1"/>
  <c r="J7" i="11" s="1"/>
  <c r="H4" i="11"/>
  <c r="A4" i="11"/>
  <c r="A5" i="11" s="1"/>
  <c r="A6" i="11" s="1"/>
  <c r="P3" i="11"/>
  <c r="H3" i="11"/>
  <c r="H29" i="10"/>
  <c r="H28" i="10"/>
  <c r="H27" i="10"/>
  <c r="P26" i="10"/>
  <c r="H26" i="10"/>
  <c r="P25" i="10"/>
  <c r="H25" i="10"/>
  <c r="P24" i="10"/>
  <c r="H24" i="10"/>
  <c r="P23" i="10"/>
  <c r="H23" i="10"/>
  <c r="P22" i="10"/>
  <c r="H22" i="10"/>
  <c r="P21" i="10"/>
  <c r="J21" i="10"/>
  <c r="J23" i="10" s="1"/>
  <c r="H21" i="10"/>
  <c r="P20" i="10"/>
  <c r="H20" i="10"/>
  <c r="P19" i="10"/>
  <c r="J19" i="10"/>
  <c r="J20" i="10" s="1"/>
  <c r="H19" i="10"/>
  <c r="P18" i="10"/>
  <c r="J18" i="10"/>
  <c r="H18" i="10"/>
  <c r="A18" i="10"/>
  <c r="A19" i="10" s="1"/>
  <c r="A20" i="10" s="1"/>
  <c r="A21" i="10" s="1"/>
  <c r="A22" i="10" s="1"/>
  <c r="A23" i="10" s="1"/>
  <c r="A24" i="10" s="1"/>
  <c r="A25" i="10" s="1"/>
  <c r="A26" i="10" s="1"/>
  <c r="P17" i="10"/>
  <c r="H17" i="10"/>
  <c r="H13" i="10"/>
  <c r="P12" i="10"/>
  <c r="H12" i="10"/>
  <c r="P11" i="10"/>
  <c r="H11" i="10"/>
  <c r="P10" i="10"/>
  <c r="H10" i="10"/>
  <c r="P9" i="10"/>
  <c r="J9" i="10"/>
  <c r="J10" i="10" s="1"/>
  <c r="J11" i="10" s="1"/>
  <c r="J12" i="10" s="1"/>
  <c r="H9" i="10"/>
  <c r="P8" i="10"/>
  <c r="H8" i="10"/>
  <c r="P7" i="10"/>
  <c r="H7" i="10"/>
  <c r="P6" i="10"/>
  <c r="H6" i="10"/>
  <c r="P5" i="10"/>
  <c r="J5" i="10"/>
  <c r="J6" i="10" s="1"/>
  <c r="J7" i="10" s="1"/>
  <c r="J8" i="10" s="1"/>
  <c r="H5" i="10"/>
  <c r="P4" i="10"/>
  <c r="J4" i="10"/>
  <c r="H4" i="10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P3" i="10"/>
  <c r="H3" i="10"/>
  <c r="Q28" i="9"/>
  <c r="H28" i="9"/>
  <c r="Q27" i="9"/>
  <c r="H27" i="9"/>
  <c r="Q26" i="9"/>
  <c r="H26" i="9"/>
  <c r="Q25" i="9"/>
  <c r="H25" i="9"/>
  <c r="Q24" i="9"/>
  <c r="H24" i="9"/>
  <c r="Q23" i="9"/>
  <c r="H23" i="9"/>
  <c r="Q22" i="9"/>
  <c r="K22" i="9"/>
  <c r="K23" i="9" s="1"/>
  <c r="K24" i="9" s="1"/>
  <c r="K25" i="9" s="1"/>
  <c r="K26" i="9" s="1"/>
  <c r="K27" i="9" s="1"/>
  <c r="K28" i="9" s="1"/>
  <c r="H22" i="9"/>
  <c r="Q21" i="9"/>
  <c r="K21" i="9"/>
  <c r="H21" i="9"/>
  <c r="A21" i="9"/>
  <c r="A22" i="9" s="1"/>
  <c r="A23" i="9" s="1"/>
  <c r="A24" i="9" s="1"/>
  <c r="A25" i="9" s="1"/>
  <c r="A28" i="9" s="1"/>
  <c r="A26" i="9" s="1"/>
  <c r="A27" i="9" s="1"/>
  <c r="Q20" i="9"/>
  <c r="K20" i="9"/>
  <c r="H20" i="9"/>
  <c r="A20" i="9"/>
  <c r="Q19" i="9"/>
  <c r="H19" i="9"/>
  <c r="Q12" i="9"/>
  <c r="H12" i="9"/>
  <c r="Q11" i="9"/>
  <c r="H11" i="9"/>
  <c r="Q10" i="9"/>
  <c r="H10" i="9"/>
  <c r="Q9" i="9"/>
  <c r="H9" i="9"/>
  <c r="Q8" i="9"/>
  <c r="H8" i="9"/>
  <c r="Q7" i="9"/>
  <c r="H7" i="9"/>
  <c r="Q6" i="9"/>
  <c r="H6" i="9"/>
  <c r="Q5" i="9"/>
  <c r="H5" i="9"/>
  <c r="Q4" i="9"/>
  <c r="K4" i="9"/>
  <c r="K5" i="9" s="1"/>
  <c r="K6" i="9" s="1"/>
  <c r="K7" i="9" s="1"/>
  <c r="K8" i="9" s="1"/>
  <c r="K9" i="9" s="1"/>
  <c r="K10" i="9" s="1"/>
  <c r="K11" i="9" s="1"/>
  <c r="K12" i="9" s="1"/>
  <c r="H4" i="9"/>
  <c r="A4" i="9"/>
  <c r="Q3" i="9"/>
  <c r="H3" i="9"/>
  <c r="G28" i="8"/>
  <c r="P27" i="8"/>
  <c r="G27" i="8"/>
  <c r="P26" i="8"/>
  <c r="G26" i="8"/>
  <c r="P25" i="8"/>
  <c r="G25" i="8"/>
  <c r="P24" i="8"/>
  <c r="G24" i="8"/>
  <c r="P23" i="8"/>
  <c r="G23" i="8"/>
  <c r="P22" i="8"/>
  <c r="G22" i="8"/>
  <c r="A22" i="8"/>
  <c r="A23" i="8" s="1"/>
  <c r="A24" i="8" s="1"/>
  <c r="A25" i="8" s="1"/>
  <c r="A26" i="8" s="1"/>
  <c r="P21" i="8"/>
  <c r="J21" i="8"/>
  <c r="J22" i="8" s="1"/>
  <c r="J23" i="8" s="1"/>
  <c r="J24" i="8" s="1"/>
  <c r="J25" i="8" s="1"/>
  <c r="J26" i="8" s="1"/>
  <c r="J27" i="8" s="1"/>
  <c r="G21" i="8"/>
  <c r="A21" i="8"/>
  <c r="P20" i="8"/>
  <c r="G20" i="8"/>
  <c r="A20" i="8"/>
  <c r="P19" i="8"/>
  <c r="J19" i="8"/>
  <c r="J20" i="8" s="1"/>
  <c r="G19" i="8"/>
  <c r="A19" i="8"/>
  <c r="P18" i="8"/>
  <c r="G18" i="8"/>
  <c r="P13" i="8"/>
  <c r="P12" i="8"/>
  <c r="G12" i="8"/>
  <c r="P11" i="8"/>
  <c r="G11" i="8"/>
  <c r="P10" i="8"/>
  <c r="G10" i="8"/>
  <c r="P9" i="8"/>
  <c r="G9" i="8"/>
  <c r="P8" i="8"/>
  <c r="G8" i="8"/>
  <c r="P7" i="8"/>
  <c r="G7" i="8"/>
  <c r="P6" i="8"/>
  <c r="G6" i="8"/>
  <c r="P5" i="8"/>
  <c r="G5" i="8"/>
  <c r="P4" i="8"/>
  <c r="J4" i="8"/>
  <c r="J5" i="8" s="1"/>
  <c r="J6" i="8" s="1"/>
  <c r="J7" i="8" s="1"/>
  <c r="J8" i="8" s="1"/>
  <c r="J9" i="8" s="1"/>
  <c r="J10" i="8" s="1"/>
  <c r="J11" i="8" s="1"/>
  <c r="J12" i="8" s="1"/>
  <c r="J13" i="8" s="1"/>
  <c r="G4" i="8"/>
  <c r="A4" i="8"/>
  <c r="A5" i="8" s="1"/>
  <c r="A6" i="8" s="1"/>
  <c r="A7" i="8" s="1"/>
  <c r="A8" i="8" s="1"/>
  <c r="A9" i="8" s="1"/>
  <c r="A10" i="8" s="1"/>
  <c r="A11" i="8" s="1"/>
  <c r="A12" i="8" s="1"/>
  <c r="P3" i="8"/>
  <c r="G3" i="8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H35" i="7"/>
  <c r="H34" i="7"/>
  <c r="Q33" i="7"/>
  <c r="H33" i="7"/>
  <c r="Q32" i="7"/>
  <c r="K32" i="7"/>
  <c r="H32" i="7"/>
  <c r="Q31" i="7"/>
  <c r="K31" i="7"/>
  <c r="K33" i="7" s="1"/>
  <c r="H31" i="7"/>
  <c r="Q30" i="7"/>
  <c r="K30" i="7"/>
  <c r="H30" i="7"/>
  <c r="Q29" i="7"/>
  <c r="K29" i="7"/>
  <c r="H29" i="7"/>
  <c r="A29" i="7"/>
  <c r="Q28" i="7"/>
  <c r="H28" i="7"/>
  <c r="A28" i="7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A7" i="7"/>
  <c r="A8" i="7" s="1"/>
  <c r="A9" i="7" s="1"/>
  <c r="A10" i="7" s="1"/>
  <c r="A11" i="7" s="1"/>
  <c r="A12" i="7" s="1"/>
  <c r="A14" i="7" s="1"/>
  <c r="A13" i="7" s="1"/>
  <c r="A15" i="7" s="1"/>
  <c r="A16" i="7" s="1"/>
  <c r="A17" i="7" s="1"/>
  <c r="A18" i="7" s="1"/>
  <c r="A19" i="7" s="1"/>
  <c r="A20" i="7" s="1"/>
  <c r="A21" i="7" s="1"/>
  <c r="A22" i="7" s="1"/>
  <c r="Q6" i="7"/>
  <c r="H6" i="7"/>
  <c r="A6" i="7"/>
  <c r="Q5" i="7"/>
  <c r="H5" i="7"/>
  <c r="A5" i="7"/>
  <c r="Q4" i="7"/>
  <c r="K4" i="7"/>
  <c r="K5" i="7" s="1"/>
  <c r="K6" i="7" s="1"/>
  <c r="K7" i="7" s="1"/>
  <c r="K8" i="7" s="1"/>
  <c r="K9" i="7" s="1"/>
  <c r="K10" i="7" s="1"/>
  <c r="K11" i="7" s="1"/>
  <c r="H4" i="7"/>
  <c r="A4" i="7"/>
  <c r="Q3" i="7"/>
  <c r="K3" i="7"/>
  <c r="H3" i="7"/>
  <c r="Q39" i="6"/>
  <c r="H39" i="6"/>
  <c r="Q38" i="6"/>
  <c r="H38" i="6"/>
  <c r="Q37" i="6"/>
  <c r="H37" i="6"/>
  <c r="Q36" i="6"/>
  <c r="H36" i="6"/>
  <c r="Q35" i="6"/>
  <c r="H35" i="6"/>
  <c r="Q34" i="6"/>
  <c r="H34" i="6"/>
  <c r="Q33" i="6"/>
  <c r="H33" i="6"/>
  <c r="Q32" i="6"/>
  <c r="H32" i="6"/>
  <c r="Q31" i="6"/>
  <c r="H31" i="6"/>
  <c r="Q30" i="6"/>
  <c r="H30" i="6"/>
  <c r="Q29" i="6"/>
  <c r="H29" i="6"/>
  <c r="Q28" i="6"/>
  <c r="H28" i="6"/>
  <c r="A28" i="6"/>
  <c r="A29" i="6" s="1"/>
  <c r="A30" i="6" s="1"/>
  <c r="A31" i="6" s="1"/>
  <c r="A32" i="6" s="1"/>
  <c r="A33" i="6" s="1"/>
  <c r="A34" i="6" s="1"/>
  <c r="A35" i="6" s="1"/>
  <c r="A36" i="6" s="1"/>
  <c r="A37" i="6" s="1"/>
  <c r="Q27" i="6"/>
  <c r="H27" i="6"/>
  <c r="A27" i="6"/>
  <c r="Q26" i="6"/>
  <c r="K26" i="6"/>
  <c r="K27" i="6" s="1"/>
  <c r="H26" i="6"/>
  <c r="A26" i="6"/>
  <c r="Q25" i="6"/>
  <c r="K25" i="6"/>
  <c r="H25" i="6"/>
  <c r="A25" i="6"/>
  <c r="Q24" i="6"/>
  <c r="H24" i="6"/>
  <c r="H18" i="6"/>
  <c r="Q17" i="6"/>
  <c r="H17" i="6"/>
  <c r="Q16" i="6"/>
  <c r="H16" i="6"/>
  <c r="Q15" i="6"/>
  <c r="H15" i="6"/>
  <c r="Q14" i="6"/>
  <c r="H14" i="6"/>
  <c r="Q13" i="6"/>
  <c r="H13" i="6"/>
  <c r="Q12" i="6"/>
  <c r="H12" i="6"/>
  <c r="Q11" i="6"/>
  <c r="H11" i="6"/>
  <c r="Q10" i="6"/>
  <c r="H10" i="6"/>
  <c r="Q9" i="6"/>
  <c r="H9" i="6"/>
  <c r="Q8" i="6"/>
  <c r="H8" i="6"/>
  <c r="Q7" i="6"/>
  <c r="H7" i="6"/>
  <c r="Q6" i="6"/>
  <c r="H6" i="6"/>
  <c r="Q5" i="6"/>
  <c r="H5" i="6"/>
  <c r="Q4" i="6"/>
  <c r="K4" i="6"/>
  <c r="K5" i="6" s="1"/>
  <c r="K6" i="6" s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H4" i="6"/>
  <c r="Q3" i="6"/>
  <c r="H3" i="6"/>
  <c r="A3" i="6"/>
  <c r="A4" i="6" s="1"/>
  <c r="A5" i="6" s="1"/>
  <c r="A6" i="6" s="1"/>
  <c r="P43" i="5"/>
  <c r="P42" i="5"/>
  <c r="P41" i="5"/>
  <c r="P40" i="5"/>
  <c r="P39" i="5"/>
  <c r="P38" i="5"/>
  <c r="P37" i="5"/>
  <c r="G37" i="5"/>
  <c r="P36" i="5"/>
  <c r="G36" i="5"/>
  <c r="P35" i="5"/>
  <c r="G35" i="5"/>
  <c r="P34" i="5"/>
  <c r="G34" i="5"/>
  <c r="P33" i="5"/>
  <c r="G33" i="5"/>
  <c r="P32" i="5"/>
  <c r="G32" i="5"/>
  <c r="P31" i="5"/>
  <c r="G31" i="5"/>
  <c r="P30" i="5"/>
  <c r="G30" i="5"/>
  <c r="P29" i="5"/>
  <c r="G29" i="5"/>
  <c r="P28" i="5"/>
  <c r="G28" i="5"/>
  <c r="P27" i="5"/>
  <c r="G27" i="5"/>
  <c r="P26" i="5"/>
  <c r="G26" i="5"/>
  <c r="P25" i="5"/>
  <c r="G25" i="5"/>
  <c r="P24" i="5"/>
  <c r="J24" i="5"/>
  <c r="J25" i="5" s="1"/>
  <c r="J26" i="5" s="1"/>
  <c r="J27" i="5" s="1"/>
  <c r="J28" i="5" s="1"/>
  <c r="G24" i="5"/>
  <c r="A24" i="5"/>
  <c r="A25" i="5" s="1"/>
  <c r="A26" i="5" s="1"/>
  <c r="A27" i="5" s="1"/>
  <c r="A28" i="5" s="1"/>
  <c r="A29" i="5" s="1"/>
  <c r="P23" i="5"/>
  <c r="G23" i="5"/>
  <c r="G18" i="5"/>
  <c r="P17" i="5"/>
  <c r="G17" i="5"/>
  <c r="P16" i="5"/>
  <c r="G16" i="5"/>
  <c r="P15" i="5"/>
  <c r="G15" i="5"/>
  <c r="P14" i="5"/>
  <c r="G14" i="5"/>
  <c r="P13" i="5"/>
  <c r="G13" i="5"/>
  <c r="P12" i="5"/>
  <c r="G12" i="5"/>
  <c r="P11" i="5"/>
  <c r="G11" i="5"/>
  <c r="P10" i="5"/>
  <c r="G10" i="5"/>
  <c r="P9" i="5"/>
  <c r="G9" i="5"/>
  <c r="P8" i="5"/>
  <c r="G8" i="5"/>
  <c r="P7" i="5"/>
  <c r="G7" i="5"/>
  <c r="P6" i="5"/>
  <c r="G6" i="5"/>
  <c r="P5" i="5"/>
  <c r="G5" i="5"/>
  <c r="P4" i="5"/>
  <c r="J4" i="5"/>
  <c r="J5" i="5" s="1"/>
  <c r="J6" i="5" s="1"/>
  <c r="J7" i="5" s="1"/>
  <c r="J8" i="5" s="1"/>
  <c r="J9" i="5" s="1"/>
  <c r="J10" i="5" s="1"/>
  <c r="J11" i="5" s="1"/>
  <c r="J12" i="5" s="1"/>
  <c r="G4" i="5"/>
  <c r="P3" i="5"/>
  <c r="G3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H49" i="4"/>
  <c r="Q48" i="4"/>
  <c r="H48" i="4"/>
  <c r="Q47" i="4"/>
  <c r="H47" i="4"/>
  <c r="Q46" i="4"/>
  <c r="H46" i="4"/>
  <c r="Q45" i="4"/>
  <c r="H45" i="4"/>
  <c r="Q44" i="4"/>
  <c r="H44" i="4"/>
  <c r="Q43" i="4"/>
  <c r="H43" i="4"/>
  <c r="Q42" i="4"/>
  <c r="H42" i="4"/>
  <c r="Q41" i="4"/>
  <c r="H41" i="4"/>
  <c r="Q40" i="4"/>
  <c r="H40" i="4"/>
  <c r="Q39" i="4"/>
  <c r="H39" i="4"/>
  <c r="Q38" i="4"/>
  <c r="H38" i="4"/>
  <c r="Q37" i="4"/>
  <c r="H37" i="4"/>
  <c r="Q36" i="4"/>
  <c r="H36" i="4"/>
  <c r="Q35" i="4"/>
  <c r="H35" i="4"/>
  <c r="Q34" i="4"/>
  <c r="H34" i="4"/>
  <c r="Q33" i="4"/>
  <c r="H33" i="4"/>
  <c r="Q32" i="4"/>
  <c r="H32" i="4"/>
  <c r="Q31" i="4"/>
  <c r="K31" i="4"/>
  <c r="K32" i="4" s="1"/>
  <c r="K33" i="4" s="1"/>
  <c r="K34" i="4" s="1"/>
  <c r="K35" i="4" s="1"/>
  <c r="K36" i="4" s="1"/>
  <c r="K37" i="4" s="1"/>
  <c r="K38" i="4" s="1"/>
  <c r="K39" i="4" s="1"/>
  <c r="K40" i="4" s="1"/>
  <c r="K44" i="4" s="1"/>
  <c r="K43" i="4" s="1"/>
  <c r="K45" i="4" s="1"/>
  <c r="K41" i="4" s="1"/>
  <c r="K42" i="4" s="1"/>
  <c r="K46" i="4" s="1"/>
  <c r="K47" i="4" s="1"/>
  <c r="K48" i="4" s="1"/>
  <c r="H31" i="4"/>
  <c r="Q30" i="4"/>
  <c r="K30" i="4"/>
  <c r="H30" i="4"/>
  <c r="Q29" i="4"/>
  <c r="K29" i="4"/>
  <c r="H29" i="4"/>
  <c r="A29" i="4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6" i="4" s="1"/>
  <c r="A44" i="4" s="1"/>
  <c r="A45" i="4" s="1"/>
  <c r="A43" i="4" s="1"/>
  <c r="A47" i="4" s="1"/>
  <c r="A48" i="4" s="1"/>
  <c r="A49" i="4" s="1"/>
  <c r="Q28" i="4"/>
  <c r="H28" i="4"/>
  <c r="Q23" i="4"/>
  <c r="H23" i="4"/>
  <c r="Q22" i="4"/>
  <c r="H22" i="4"/>
  <c r="Q21" i="4"/>
  <c r="H21" i="4"/>
  <c r="Q20" i="4"/>
  <c r="H20" i="4"/>
  <c r="Q19" i="4"/>
  <c r="H19" i="4"/>
  <c r="Q18" i="4"/>
  <c r="H18" i="4"/>
  <c r="Q17" i="4"/>
  <c r="H17" i="4"/>
  <c r="Q16" i="4"/>
  <c r="H16" i="4"/>
  <c r="Q15" i="4"/>
  <c r="H15" i="4"/>
  <c r="Q14" i="4"/>
  <c r="H14" i="4"/>
  <c r="Q13" i="4"/>
  <c r="H13" i="4"/>
  <c r="Q12" i="4"/>
  <c r="H12" i="4"/>
  <c r="Q11" i="4"/>
  <c r="H11" i="4"/>
  <c r="Q10" i="4"/>
  <c r="H10" i="4"/>
  <c r="Q9" i="4"/>
  <c r="H9" i="4"/>
  <c r="Q8" i="4"/>
  <c r="H8" i="4"/>
  <c r="Q7" i="4"/>
  <c r="H7" i="4"/>
  <c r="Q6" i="4"/>
  <c r="H6" i="4"/>
  <c r="Q5" i="4"/>
  <c r="H5" i="4"/>
  <c r="Q4" i="4"/>
  <c r="K4" i="4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3" i="4" s="1"/>
  <c r="K22" i="4" s="1"/>
  <c r="H4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Q3" i="4"/>
  <c r="H3" i="4"/>
  <c r="H39" i="3"/>
  <c r="H38" i="3"/>
  <c r="H37" i="3"/>
  <c r="Q36" i="3"/>
  <c r="H36" i="3"/>
  <c r="Q35" i="3"/>
  <c r="H35" i="3"/>
  <c r="Q34" i="3"/>
  <c r="H34" i="3"/>
  <c r="Q33" i="3"/>
  <c r="H33" i="3"/>
  <c r="Q32" i="3"/>
  <c r="H32" i="3"/>
  <c r="Q31" i="3"/>
  <c r="H31" i="3"/>
  <c r="Q30" i="3"/>
  <c r="H30" i="3"/>
  <c r="Q29" i="3"/>
  <c r="H29" i="3"/>
  <c r="Q28" i="3"/>
  <c r="H28" i="3"/>
  <c r="Q27" i="3"/>
  <c r="H27" i="3"/>
  <c r="Q26" i="3"/>
  <c r="H26" i="3"/>
  <c r="Q25" i="3"/>
  <c r="H25" i="3"/>
  <c r="Q24" i="3"/>
  <c r="H24" i="3"/>
  <c r="Q23" i="3"/>
  <c r="K23" i="3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H23" i="3"/>
  <c r="A23" i="3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Q22" i="3"/>
  <c r="H22" i="3"/>
  <c r="A22" i="3"/>
  <c r="Q17" i="3"/>
  <c r="H17" i="3"/>
  <c r="Q16" i="3"/>
  <c r="H16" i="3"/>
  <c r="Q15" i="3"/>
  <c r="H15" i="3"/>
  <c r="Q14" i="3"/>
  <c r="H14" i="3"/>
  <c r="Q13" i="3"/>
  <c r="H13" i="3"/>
  <c r="Q12" i="3"/>
  <c r="H12" i="3"/>
  <c r="Q11" i="3"/>
  <c r="H11" i="3"/>
  <c r="Q10" i="3"/>
  <c r="H10" i="3"/>
  <c r="Q9" i="3"/>
  <c r="H9" i="3"/>
  <c r="Q8" i="3"/>
  <c r="H8" i="3"/>
  <c r="Q7" i="3"/>
  <c r="H7" i="3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Q6" i="3"/>
  <c r="H6" i="3"/>
  <c r="A6" i="3"/>
  <c r="Q5" i="3"/>
  <c r="H5" i="3"/>
  <c r="A5" i="3"/>
  <c r="Q4" i="3"/>
  <c r="K4" i="3"/>
  <c r="K5" i="3" s="1"/>
  <c r="K6" i="3" s="1"/>
  <c r="H4" i="3"/>
  <c r="A4" i="3"/>
  <c r="Q3" i="3"/>
  <c r="H3" i="3"/>
  <c r="P40" i="2"/>
  <c r="G40" i="2"/>
  <c r="P39" i="2"/>
  <c r="G39" i="2"/>
  <c r="P38" i="2"/>
  <c r="G38" i="2"/>
  <c r="P37" i="2"/>
  <c r="G37" i="2"/>
  <c r="P36" i="2"/>
  <c r="G36" i="2"/>
  <c r="P35" i="2"/>
  <c r="G35" i="2"/>
  <c r="P34" i="2"/>
  <c r="G34" i="2"/>
  <c r="P33" i="2"/>
  <c r="G33" i="2"/>
  <c r="P32" i="2"/>
  <c r="G32" i="2"/>
  <c r="P31" i="2"/>
  <c r="G31" i="2"/>
  <c r="P30" i="2"/>
  <c r="G30" i="2"/>
  <c r="P29" i="2"/>
  <c r="G29" i="2"/>
  <c r="P28" i="2"/>
  <c r="G28" i="2"/>
  <c r="P27" i="2"/>
  <c r="G27" i="2"/>
  <c r="P26" i="2"/>
  <c r="G26" i="2"/>
  <c r="P25" i="2"/>
  <c r="G25" i="2"/>
  <c r="P24" i="2"/>
  <c r="J24" i="2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G24" i="2"/>
  <c r="A24" i="2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7" i="2" s="1"/>
  <c r="A36" i="2" s="1"/>
  <c r="A38" i="2" s="1"/>
  <c r="A39" i="2" s="1"/>
  <c r="A40" i="2" s="1"/>
  <c r="G19" i="2"/>
  <c r="G18" i="2"/>
  <c r="P17" i="2"/>
  <c r="G17" i="2"/>
  <c r="P16" i="2"/>
  <c r="G16" i="2"/>
  <c r="P15" i="2"/>
  <c r="G15" i="2"/>
  <c r="P14" i="2"/>
  <c r="G14" i="2"/>
  <c r="P13" i="2"/>
  <c r="G13" i="2"/>
  <c r="P12" i="2"/>
  <c r="G12" i="2"/>
  <c r="P11" i="2"/>
  <c r="G11" i="2"/>
  <c r="P10" i="2"/>
  <c r="G10" i="2"/>
  <c r="P9" i="2"/>
  <c r="G9" i="2"/>
  <c r="P8" i="2"/>
  <c r="G8" i="2"/>
  <c r="P7" i="2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G7" i="2"/>
  <c r="P6" i="2"/>
  <c r="J6" i="2"/>
  <c r="G6" i="2"/>
  <c r="P5" i="2"/>
  <c r="J5" i="2"/>
  <c r="G5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9" i="2" s="1"/>
  <c r="A18" i="2" s="1"/>
  <c r="A17" i="2" s="1"/>
  <c r="P4" i="2"/>
  <c r="J4" i="2"/>
  <c r="G4" i="2"/>
  <c r="A4" i="2"/>
  <c r="P3" i="2"/>
  <c r="G3" i="2"/>
  <c r="J29" i="5" l="1"/>
  <c r="J30" i="5"/>
  <c r="J31" i="5" s="1"/>
  <c r="J32" i="5" s="1"/>
  <c r="J33" i="5" s="1"/>
  <c r="J34" i="5" s="1"/>
  <c r="J35" i="5" s="1"/>
  <c r="J36" i="5" s="1"/>
  <c r="A27" i="8"/>
  <c r="A28" i="8"/>
  <c r="A38" i="22"/>
  <c r="A37" i="22"/>
  <c r="K8" i="3"/>
  <c r="K9" i="3" s="1"/>
  <c r="K10" i="3" s="1"/>
  <c r="K11" i="3" s="1"/>
  <c r="K12" i="3" s="1"/>
  <c r="K13" i="3" s="1"/>
  <c r="K14" i="3" s="1"/>
  <c r="K15" i="3" s="1"/>
  <c r="K16" i="3" s="1"/>
  <c r="K17" i="3" s="1"/>
  <c r="K7" i="3"/>
  <c r="K12" i="19"/>
  <c r="K11" i="19"/>
  <c r="K29" i="6"/>
  <c r="K28" i="6"/>
  <c r="K35" i="14"/>
  <c r="K34" i="14"/>
  <c r="J24" i="15"/>
  <c r="J25" i="15" s="1"/>
  <c r="J26" i="15" s="1"/>
  <c r="J23" i="15"/>
  <c r="J10" i="12"/>
  <c r="J11" i="12" s="1"/>
  <c r="J12" i="12" s="1"/>
  <c r="J9" i="12"/>
  <c r="A34" i="24"/>
  <c r="A33" i="24"/>
  <c r="A32" i="24" s="1"/>
  <c r="A35" i="24" s="1"/>
  <c r="A36" i="24" s="1"/>
  <c r="A37" i="24" s="1"/>
  <c r="A38" i="24" s="1"/>
  <c r="A39" i="24" s="1"/>
  <c r="A15" i="27"/>
  <c r="A16" i="27" s="1"/>
  <c r="A17" i="27" s="1"/>
  <c r="A14" i="27"/>
  <c r="J13" i="11"/>
  <c r="J14" i="11" s="1"/>
  <c r="J11" i="11"/>
  <c r="A14" i="14"/>
  <c r="A15" i="14" s="1"/>
  <c r="A16" i="14" s="1"/>
  <c r="A17" i="14" s="1"/>
  <c r="A12" i="14"/>
  <c r="A13" i="14"/>
  <c r="A13" i="16"/>
  <c r="A12" i="16"/>
  <c r="A14" i="16" s="1"/>
  <c r="A31" i="5"/>
  <c r="A32" i="5" s="1"/>
  <c r="A33" i="5" s="1"/>
  <c r="A34" i="5" s="1"/>
  <c r="A30" i="5"/>
  <c r="K12" i="7"/>
  <c r="K13" i="7"/>
  <c r="K14" i="7" s="1"/>
  <c r="K15" i="7" s="1"/>
  <c r="K16" i="7" s="1"/>
  <c r="K17" i="7" s="1"/>
  <c r="K18" i="7" s="1"/>
  <c r="K19" i="7" s="1"/>
  <c r="K20" i="7" s="1"/>
  <c r="K21" i="7" s="1"/>
  <c r="K22" i="7" s="1"/>
  <c r="A34" i="14"/>
  <c r="A35" i="14"/>
  <c r="A36" i="27"/>
  <c r="A37" i="27" s="1"/>
  <c r="A35" i="27"/>
  <c r="K37" i="20"/>
  <c r="K38" i="20"/>
  <c r="J16" i="5"/>
  <c r="J17" i="5" s="1"/>
  <c r="J13" i="5"/>
  <c r="J14" i="5" s="1"/>
  <c r="J15" i="5" s="1"/>
  <c r="A27" i="10"/>
  <c r="A28" i="10"/>
  <c r="A29" i="10" s="1"/>
  <c r="A27" i="26"/>
  <c r="A28" i="26"/>
  <c r="A29" i="26" s="1"/>
  <c r="A39" i="6"/>
  <c r="A38" i="6"/>
  <c r="J30" i="11"/>
  <c r="J31" i="11" s="1"/>
  <c r="J32" i="11" s="1"/>
  <c r="J33" i="11" s="1"/>
  <c r="J34" i="11" s="1"/>
  <c r="J35" i="11" s="1"/>
  <c r="J36" i="11" s="1"/>
  <c r="J37" i="11" s="1"/>
  <c r="J38" i="11" s="1"/>
  <c r="J39" i="11" s="1"/>
  <c r="J28" i="11"/>
  <c r="A7" i="6"/>
  <c r="A8" i="6"/>
  <c r="K36" i="7"/>
  <c r="K37" i="7" s="1"/>
  <c r="K38" i="7" s="1"/>
  <c r="K39" i="7" s="1"/>
  <c r="K40" i="7" s="1"/>
  <c r="K41" i="7" s="1"/>
  <c r="K42" i="7" s="1"/>
  <c r="K34" i="7"/>
  <c r="K35" i="7" s="1"/>
  <c r="A36" i="11"/>
  <c r="A37" i="11"/>
  <c r="A38" i="11" s="1"/>
  <c r="J22" i="10"/>
  <c r="J24" i="10"/>
  <c r="J25" i="10" s="1"/>
  <c r="J26" i="10" s="1"/>
  <c r="A20" i="18"/>
  <c r="K10" i="20"/>
  <c r="K11" i="20" s="1"/>
  <c r="K12" i="20"/>
  <c r="K13" i="20" s="1"/>
  <c r="K14" i="20" s="1"/>
  <c r="K15" i="20" s="1"/>
  <c r="K16" i="20" s="1"/>
  <c r="K17" i="20" s="1"/>
  <c r="K18" i="20" s="1"/>
  <c r="A11" i="22"/>
  <c r="A10" i="22"/>
  <c r="A12" i="22" s="1"/>
  <c r="A13" i="22" s="1"/>
  <c r="A15" i="22" s="1"/>
  <c r="K31" i="24"/>
  <c r="K30" i="24" s="1"/>
  <c r="K32" i="24" s="1"/>
  <c r="K29" i="24"/>
  <c r="K23" i="16"/>
  <c r="K25" i="16" s="1"/>
  <c r="K22" i="16"/>
  <c r="K29" i="17"/>
  <c r="K30" i="17" s="1"/>
  <c r="K31" i="17" s="1"/>
  <c r="A12" i="26"/>
  <c r="A13" i="26"/>
  <c r="K34" i="22"/>
  <c r="K35" i="22"/>
  <c r="K36" i="22" s="1"/>
  <c r="K37" i="22" s="1"/>
  <c r="K38" i="22" s="1"/>
  <c r="A28" i="16"/>
  <c r="A27" i="16"/>
  <c r="K32" i="27"/>
  <c r="K33" i="27"/>
  <c r="K25" i="19"/>
  <c r="K26" i="19" s="1"/>
  <c r="K24" i="19"/>
  <c r="K29" i="26"/>
  <c r="K28" i="26"/>
  <c r="K25" i="17"/>
  <c r="J25" i="25"/>
  <c r="J26" i="25" s="1"/>
  <c r="J27" i="25" s="1"/>
  <c r="J24" i="25"/>
  <c r="K25" i="29"/>
  <c r="K26" i="29" s="1"/>
  <c r="K27" i="29" s="1"/>
  <c r="K28" i="29" s="1"/>
  <c r="K29" i="29" s="1"/>
  <c r="K30" i="29" s="1"/>
  <c r="K24" i="29"/>
  <c r="A6" i="9"/>
  <c r="A9" i="9" s="1"/>
  <c r="A5" i="9"/>
  <c r="A14" i="17"/>
  <c r="A13" i="17"/>
  <c r="A15" i="17" s="1"/>
  <c r="A16" i="17" s="1"/>
  <c r="A17" i="17" s="1"/>
  <c r="K12" i="22"/>
  <c r="K11" i="22"/>
  <c r="K13" i="22" s="1"/>
  <c r="K14" i="22" s="1"/>
  <c r="K15" i="22" s="1"/>
  <c r="K16" i="22" s="1"/>
  <c r="K17" i="22" s="1"/>
  <c r="J22" i="28"/>
  <c r="J23" i="28"/>
  <c r="J24" i="28" s="1"/>
  <c r="J25" i="28" s="1"/>
  <c r="J26" i="28" s="1"/>
  <c r="J27" i="28" s="1"/>
  <c r="A14" i="22" l="1"/>
  <c r="A16" i="22"/>
  <c r="A17" i="22" s="1"/>
  <c r="A18" i="22" s="1"/>
  <c r="A19" i="22" s="1"/>
  <c r="A20" i="22" s="1"/>
  <c r="A36" i="5"/>
  <c r="A37" i="5" s="1"/>
  <c r="A35" i="5"/>
  <c r="K32" i="6"/>
  <c r="K33" i="6" s="1"/>
  <c r="K34" i="6" s="1"/>
  <c r="K35" i="6" s="1"/>
  <c r="K36" i="6" s="1"/>
  <c r="K30" i="6"/>
  <c r="K31" i="6" s="1"/>
  <c r="J15" i="11"/>
  <c r="J16" i="11"/>
  <c r="J17" i="11" s="1"/>
  <c r="J18" i="11" s="1"/>
  <c r="K35" i="24"/>
  <c r="K36" i="24" s="1"/>
  <c r="K33" i="24"/>
  <c r="K34" i="24" s="1"/>
  <c r="A8" i="9"/>
  <c r="A7" i="9"/>
  <c r="A10" i="9" s="1"/>
  <c r="A11" i="9" s="1"/>
  <c r="A12" i="9" s="1"/>
  <c r="K45" i="7"/>
  <c r="K46" i="7" s="1"/>
  <c r="K47" i="7" s="1"/>
  <c r="K44" i="7"/>
  <c r="K43" i="7"/>
  <c r="A40" i="24"/>
  <c r="A41" i="24"/>
  <c r="K32" i="17"/>
  <c r="K33" i="17"/>
  <c r="K34" i="17" s="1"/>
  <c r="K35" i="17" s="1"/>
  <c r="K36" i="17" s="1"/>
  <c r="A10" i="6"/>
  <c r="A11" i="6" s="1"/>
  <c r="A12" i="6" s="1"/>
  <c r="A13" i="6" s="1"/>
  <c r="A14" i="6" s="1"/>
  <c r="A15" i="6" s="1"/>
  <c r="A16" i="6" s="1"/>
  <c r="A9" i="6"/>
  <c r="J37" i="5"/>
  <c r="J38" i="5"/>
  <c r="J39" i="5" s="1"/>
  <c r="J40" i="5" s="1"/>
  <c r="J41" i="5" s="1"/>
  <c r="J29" i="25"/>
  <c r="J28" i="25"/>
  <c r="K26" i="16"/>
  <c r="K27" i="16" s="1"/>
  <c r="K24" i="16"/>
  <c r="K37" i="6" l="1"/>
  <c r="K39" i="6"/>
  <c r="K38" i="6"/>
  <c r="K41" i="24"/>
  <c r="K42" i="24" s="1"/>
  <c r="K37" i="24"/>
  <c r="K38" i="24" s="1"/>
  <c r="A18" i="6"/>
  <c r="A17" i="6"/>
  <c r="K29" i="16"/>
  <c r="K28" i="16"/>
  <c r="J43" i="5"/>
  <c r="J42" i="5"/>
  <c r="K40" i="24" l="1"/>
  <c r="K39" i="24"/>
</calcChain>
</file>

<file path=xl/sharedStrings.xml><?xml version="1.0" encoding="utf-8"?>
<sst xmlns="http://schemas.openxmlformats.org/spreadsheetml/2006/main" count="5921" uniqueCount="373">
  <si>
    <t>Presentation Sheet</t>
  </si>
  <si>
    <t>Top teams with the best points/match ratio in a single season</t>
  </si>
  <si>
    <t>Top 15 teams with the best points/match ratio in a single season without winning the title in the top 5 leagues (PL + since 1995)</t>
  </si>
  <si>
    <t>Top 15 teams with the best goals scored/match ratio in a single season in the top 5 leagues (PL + since 1995)</t>
  </si>
  <si>
    <t>Position</t>
  </si>
  <si>
    <t>Team</t>
  </si>
  <si>
    <t>Season</t>
  </si>
  <si>
    <t>Points Won</t>
  </si>
  <si>
    <t>Number of Matches</t>
  </si>
  <si>
    <t>Rank</t>
  </si>
  <si>
    <t>Points/Match Ratio</t>
  </si>
  <si>
    <t>Goals Scored</t>
  </si>
  <si>
    <t>Goals Scored/Match Ratio</t>
  </si>
  <si>
    <t>Liverpool FC</t>
  </si>
  <si>
    <t>2018-2019</t>
  </si>
  <si>
    <t>2nd</t>
  </si>
  <si>
    <t>FC Bayern Munich</t>
  </si>
  <si>
    <t>2025-2026</t>
  </si>
  <si>
    <t>Champion</t>
  </si>
  <si>
    <t>Real Madrid</t>
  </si>
  <si>
    <t>2009-2010</t>
  </si>
  <si>
    <t>2011-2012</t>
  </si>
  <si>
    <t>2010-2011</t>
  </si>
  <si>
    <t>2014-2015</t>
  </si>
  <si>
    <t>FC Barcelona</t>
  </si>
  <si>
    <t>2016-2017</t>
  </si>
  <si>
    <t>2021-2022</t>
  </si>
  <si>
    <t>2012-2013</t>
  </si>
  <si>
    <t>SSC Napoli</t>
  </si>
  <si>
    <t>2017-2018</t>
  </si>
  <si>
    <t>2015-2016</t>
  </si>
  <si>
    <t>2019-2020</t>
  </si>
  <si>
    <t>2020-2021</t>
  </si>
  <si>
    <t>Manchester United</t>
  </si>
  <si>
    <t>Arsenal</t>
  </si>
  <si>
    <t>2023-2024</t>
  </si>
  <si>
    <t>AC Milan (Calciopoli)</t>
  </si>
  <si>
    <t>2005-2006</t>
  </si>
  <si>
    <t>3rd*</t>
  </si>
  <si>
    <t>Borussia Dortmund</t>
  </si>
  <si>
    <t>2013-2014</t>
  </si>
  <si>
    <t>Paris SG</t>
  </si>
  <si>
    <t>AS Roma</t>
  </si>
  <si>
    <t>AS Monaco</t>
  </si>
  <si>
    <t>3rd</t>
  </si>
  <si>
    <t>Top 15 teams with the best points/match ratio in a single season in the top 5 leagues (PL + since 1995)</t>
  </si>
  <si>
    <t>Top 15 teams with the best goals conceded/match ratio in a single season in the top 5 leagues (PL + since 1995)</t>
  </si>
  <si>
    <t>Juventus</t>
  </si>
  <si>
    <t>Chelsea FC</t>
  </si>
  <si>
    <t>2004-2005</t>
  </si>
  <si>
    <t>1998-1999</t>
  </si>
  <si>
    <t>Bayer Leverkusen</t>
  </si>
  <si>
    <t>Atlético Madrid</t>
  </si>
  <si>
    <t>Manchester City</t>
  </si>
  <si>
    <t>2022-2023</t>
  </si>
  <si>
    <t>Inter Milan</t>
  </si>
  <si>
    <t>2006-2007</t>
  </si>
  <si>
    <t>2003-2004</t>
  </si>
  <si>
    <t>Olympique Lyonnais</t>
  </si>
  <si>
    <t>2007-2008</t>
  </si>
  <si>
    <t>Top 15 teams with the best points/match ratio in a single season without winning the title in the top 5 leagues (1955-)</t>
  </si>
  <si>
    <t>Top 15 teams with the best goals scored/match ratio in a single season in the top 5 leagues (1955-)</t>
  </si>
  <si>
    <t>Maximum Possible Points</t>
  </si>
  <si>
    <t>1958-1959</t>
  </si>
  <si>
    <t>Torino</t>
  </si>
  <si>
    <t>1976-1977</t>
  </si>
  <si>
    <t>60 (2 pts per win)</t>
  </si>
  <si>
    <t>RC Paris</t>
  </si>
  <si>
    <t>1959-1960</t>
  </si>
  <si>
    <t>1963-1964</t>
  </si>
  <si>
    <t>68 (2 pts per win)</t>
  </si>
  <si>
    <t>1971-1972</t>
  </si>
  <si>
    <t>1960-1961</t>
  </si>
  <si>
    <t>1955-1956</t>
  </si>
  <si>
    <t>Top 15 teams with the best points/match ratio in a single season in the top 5 leagues (1955-)</t>
  </si>
  <si>
    <t>Top 15 teams with the best goals conceded/match ratio in a single season in the top 5 leagues (1955-)</t>
  </si>
  <si>
    <t>Cagliari</t>
  </si>
  <si>
    <t>1969-1970</t>
  </si>
  <si>
    <t>1978-1979</t>
  </si>
  <si>
    <t>AC Milan</t>
  </si>
  <si>
    <t>1968-1969</t>
  </si>
  <si>
    <t>1993-1994</t>
  </si>
  <si>
    <t>1987-1988</t>
  </si>
  <si>
    <t>1981-1982</t>
  </si>
  <si>
    <t>1990-1991</t>
  </si>
  <si>
    <t>1988-1989</t>
  </si>
  <si>
    <t>1980-1981</t>
  </si>
  <si>
    <t>Top 20 teams with the best points/match ratio in a single season without winning the title in the top 5 leagues (All Time)</t>
  </si>
  <si>
    <t>Top 20 teams with the best goals scored/match ratio in a single season in the top 5 leagues (All Time)</t>
  </si>
  <si>
    <t>Athletic Club</t>
  </si>
  <si>
    <t>1930-1931</t>
  </si>
  <si>
    <t>Sunderland</t>
  </si>
  <si>
    <t>1891-1892</t>
  </si>
  <si>
    <t>Blackburn Rovers</t>
  </si>
  <si>
    <t>1889-1890</t>
  </si>
  <si>
    <t>1929-1930</t>
  </si>
  <si>
    <t>1932-1933</t>
  </si>
  <si>
    <t>Aston Villa</t>
  </si>
  <si>
    <t>4th</t>
  </si>
  <si>
    <t>1933-1934</t>
  </si>
  <si>
    <t>Preston North End</t>
  </si>
  <si>
    <t>1888-1889</t>
  </si>
  <si>
    <t>1892-1893</t>
  </si>
  <si>
    <t>Valencia CF</t>
  </si>
  <si>
    <t>1941-1942</t>
  </si>
  <si>
    <t>RC Strasbourg</t>
  </si>
  <si>
    <t>1934-1935</t>
  </si>
  <si>
    <t>1940-1941</t>
  </si>
  <si>
    <t>Sevilla FC</t>
  </si>
  <si>
    <t>5th</t>
  </si>
  <si>
    <t>1950-1951</t>
  </si>
  <si>
    <t>76 (2 pts per win)</t>
  </si>
  <si>
    <t>FC Sochaux Montbéliard</t>
  </si>
  <si>
    <t>1947-1948</t>
  </si>
  <si>
    <t>1949-1950</t>
  </si>
  <si>
    <t>Leeds United</t>
  </si>
  <si>
    <t>1970-1971</t>
  </si>
  <si>
    <t>84 (2 pts per win)</t>
  </si>
  <si>
    <t>Top 20 teams with the best points/match ratio in a single season in the top 5 leagues (All Time)</t>
  </si>
  <si>
    <t>Top 20 teams with the best goals conceded/match ratio in a single season in the top 5 leagues (All Time)</t>
  </si>
  <si>
    <t>44 (2 pts per win)</t>
  </si>
  <si>
    <t>1979-1980</t>
  </si>
  <si>
    <t>1974-1975</t>
  </si>
  <si>
    <t>1966-1967</t>
  </si>
  <si>
    <t>6th</t>
  </si>
  <si>
    <t>Top 15 teams with the best points/match ratio in a single season without winning the title in the top 8 leagues (PL + since 1995)</t>
  </si>
  <si>
    <t>Top 15 teams with the best goals scored/match ratio in a single season in the top 8 leagues (PL + since 1995)</t>
  </si>
  <si>
    <t>SL Benfica</t>
  </si>
  <si>
    <t xml:space="preserve"> Sporting CP</t>
  </si>
  <si>
    <t>1997-1998</t>
  </si>
  <si>
    <t>PSV Eindhoven</t>
  </si>
  <si>
    <t>FC Porto</t>
  </si>
  <si>
    <t>Sporting CP</t>
  </si>
  <si>
    <t>1999-2000</t>
  </si>
  <si>
    <t>2002-2003</t>
  </si>
  <si>
    <t>2024-2025</t>
  </si>
  <si>
    <t>Top 15 teams with the best points/match ratio in a single season in the top 8 leagues (PL + since 1995)</t>
  </si>
  <si>
    <t>Top 15 teams with the best goals conceded/match ratio in a single season in the top 8 leagues (PL + since 1995)</t>
  </si>
  <si>
    <t>Top 15 teams with the best points/match ratio in a single season without winning the title in the top 8 leagues (1955-)</t>
  </si>
  <si>
    <t>Top 15 teams with the best goals scored/match ratio in a single season in the top 8 leagues (1955-)</t>
  </si>
  <si>
    <t>Budapest Honvéd FC</t>
  </si>
  <si>
    <t>Feyenoord</t>
  </si>
  <si>
    <t>1972-1973</t>
  </si>
  <si>
    <t>1977-1978</t>
  </si>
  <si>
    <t>1985-1986</t>
  </si>
  <si>
    <t>Újpest</t>
  </si>
  <si>
    <t>1964-1965</t>
  </si>
  <si>
    <t>1956-1957</t>
  </si>
  <si>
    <t>52 (2 pts per win)</t>
  </si>
  <si>
    <t>Vasas SC</t>
  </si>
  <si>
    <t>1957-1958</t>
  </si>
  <si>
    <t>Top 15 teams with the best points/match ratio in a single season in the top 8 leagues (1955-)</t>
  </si>
  <si>
    <t>Top 15 teams with the best goals conceded/match ratio in a single season in the top 8 leagues (1955-)</t>
  </si>
  <si>
    <t>1983-1984</t>
  </si>
  <si>
    <t>1991-1992</t>
  </si>
  <si>
    <t>1962-1963</t>
  </si>
  <si>
    <t>1984-1985</t>
  </si>
  <si>
    <t>1994-1995</t>
  </si>
  <si>
    <t>FC Twente</t>
  </si>
  <si>
    <t>Top 20 teams with the best points/match ratio in a single season without winning the title in the top 8 leagues (All Time)</t>
  </si>
  <si>
    <t>Top 20 teams with the best goals scored/match ratio in a single season in the top 8 leagues (All Time)</t>
  </si>
  <si>
    <t>1939-1940</t>
  </si>
  <si>
    <t>36 (2 pts per win)</t>
  </si>
  <si>
    <t>MTK Budapest</t>
  </si>
  <si>
    <t>1917-1918</t>
  </si>
  <si>
    <t>1945-1946</t>
  </si>
  <si>
    <t>Ferencváros</t>
  </si>
  <si>
    <t>15 (2 pts per win)</t>
  </si>
  <si>
    <t>Magyar AC</t>
  </si>
  <si>
    <t>1906-1907</t>
  </si>
  <si>
    <t>22 (2 pts per win)</t>
  </si>
  <si>
    <t>1918-1919</t>
  </si>
  <si>
    <t>1907-1908</t>
  </si>
  <si>
    <t>1916-1917</t>
  </si>
  <si>
    <t>1937-1938</t>
  </si>
  <si>
    <t>1931-1932</t>
  </si>
  <si>
    <t>1946-1947</t>
  </si>
  <si>
    <t>1948-1949</t>
  </si>
  <si>
    <t>1938-1939</t>
  </si>
  <si>
    <t>Budapesti TC</t>
  </si>
  <si>
    <t>1944-1945</t>
  </si>
  <si>
    <t>42 (2 pts per win)</t>
  </si>
  <si>
    <t>Belenenses</t>
  </si>
  <si>
    <t>1942-1943</t>
  </si>
  <si>
    <t>Top 20 teams with the best points/match ratio in a single season in the top 8 leagues (All Time)</t>
  </si>
  <si>
    <t>Top 20 teams with the best goals conceded/match ratio in a single season in the top 8 leagues (1955-)</t>
  </si>
  <si>
    <t>16 (2 pts per win)</t>
  </si>
  <si>
    <t>1919-1920</t>
  </si>
  <si>
    <t>56 (2 pts per win)</t>
  </si>
  <si>
    <t>1920-1921</t>
  </si>
  <si>
    <t>1935-1936</t>
  </si>
  <si>
    <t>1913-1914</t>
  </si>
  <si>
    <t>1912-1913</t>
  </si>
  <si>
    <t>48 (2 pts per win)</t>
  </si>
  <si>
    <t>1923-1924</t>
  </si>
  <si>
    <t>Top 10 teams with the best points/match ratio in a single season without winning the title in PL (1992-)</t>
  </si>
  <si>
    <t>Top 10 teams with the best goals scored/match ratio in a single season in PL (1992-)</t>
  </si>
  <si>
    <t>2008-2009</t>
  </si>
  <si>
    <t>Tottenham Hotspur</t>
  </si>
  <si>
    <t>Top 10 teams with the best points/match ratio in a single season in PL (1992-)</t>
  </si>
  <si>
    <t>Top 10 teams with the best goals conceded/match ratio in a single season in PL (1992-)</t>
  </si>
  <si>
    <t>Goals Conceded</t>
  </si>
  <si>
    <t>Goals Conceded/Match Ratio</t>
  </si>
  <si>
    <t>Top 10 teams with the best points/match ratio in a single season without winning the title in PL (1955-92)</t>
  </si>
  <si>
    <t>Top 10 teams with the best goals scored/match ratio in a single season in PL (1955-92)</t>
  </si>
  <si>
    <t>Wolverhamton Wanderers</t>
  </si>
  <si>
    <t>Nottingham Forest</t>
  </si>
  <si>
    <t>Queens Park Rangers</t>
  </si>
  <si>
    <t>1975-1976</t>
  </si>
  <si>
    <t>West Bromwich Albion</t>
  </si>
  <si>
    <t>Sheffield Wednesday</t>
  </si>
  <si>
    <t>Everton</t>
  </si>
  <si>
    <t>Top 10 teams with the best points/match ratio in a single season in PL (1955-92)</t>
  </si>
  <si>
    <t>Top 10 teams with the best goals conceded/match ratio in a single season in PL (1955-)</t>
  </si>
  <si>
    <t>leeds United</t>
  </si>
  <si>
    <t xml:space="preserve">Arsenal </t>
  </si>
  <si>
    <t>Wolverhampton Wanderers</t>
  </si>
  <si>
    <t>Top 10 teams with the best points/match ratio in a single season without winning the title in PL (1955-)</t>
  </si>
  <si>
    <t>Top 10 teams with the best goals scored/match ratio in a single season in PL (1955-)</t>
  </si>
  <si>
    <t>Top 10 teams with the best points/match ratio in a single season in PL (1955-)</t>
  </si>
  <si>
    <t>Top 15 teams with the best points/match ratio in a single season without winning the title in PL (All Time)</t>
  </si>
  <si>
    <t>Top 15 teams with the best goals scored/match ratio in a single season in PL (All Time)</t>
  </si>
  <si>
    <t>1893-1894</t>
  </si>
  <si>
    <t>1890-1891</t>
  </si>
  <si>
    <t>Bolton Wanderers</t>
  </si>
  <si>
    <t>Top 15 teams with the best points/match ratio in a single season in PL (All Time)</t>
  </si>
  <si>
    <t>Top 15 teams with the best goals conceded/match ratio in a single season in PL (All Time)</t>
  </si>
  <si>
    <t>Top 10 teams with the best points/match ratio in a single season without winning the title in Serie A (1994-)</t>
  </si>
  <si>
    <t>Top 10 teams with the best goals scored/match ratio in a single season in Serie A (1994-)</t>
  </si>
  <si>
    <t>Atalanta</t>
  </si>
  <si>
    <t>SS Lazio</t>
  </si>
  <si>
    <t>2000-2001</t>
  </si>
  <si>
    <t>Top 10 teams with the best points/match ratio in a single season in Serie A (1994-)</t>
  </si>
  <si>
    <t>Top 10 teams with the best goals conceded/match ratio in a single season in Serie A (1994-)</t>
  </si>
  <si>
    <t>Juventus Turin (Calciopoli)</t>
  </si>
  <si>
    <t>20eme*</t>
  </si>
  <si>
    <t>Top 10 teams with the best points/match ratio in a single season without winning the title in Serie A (1955-)</t>
  </si>
  <si>
    <t>Top 10 teams with the best goals scored/match ratio in a single season in Serie A (1955-)</t>
  </si>
  <si>
    <t>Fiorentina</t>
  </si>
  <si>
    <t>1961-1962</t>
  </si>
  <si>
    <t>Top 10 teams with the best points/match ratio in a single season in Serie A (1955-)</t>
  </si>
  <si>
    <t>Top 10 teams with the best goals conceded/match ratio in a single season in Serie A (1955-)</t>
  </si>
  <si>
    <t>Top 15 teams with the best points/match ratio in a single season without winning the title in Serie A (All Time)</t>
  </si>
  <si>
    <t>Top 15 teams with the best goals scored/match ratio in a single season in Serie A (All Time)</t>
  </si>
  <si>
    <t>1951-1952</t>
  </si>
  <si>
    <t>Bologna</t>
  </si>
  <si>
    <t>Top 15 teams with the best points/match ratio in a single season in Serie A (All Time)</t>
  </si>
  <si>
    <t>Top 15 teams with the best goals conceded/match ratio in a single season in Serie A (All Time)</t>
  </si>
  <si>
    <t xml:space="preserve"> 1974-1975</t>
  </si>
  <si>
    <t>80 (2 pts per win)</t>
  </si>
  <si>
    <t>Perugia</t>
  </si>
  <si>
    <t>Top 10 teams with the best points/match ratio in a single season without winning the title in Ligue 1 (1994-)</t>
  </si>
  <si>
    <t>Top 10 teams with the best goals scored/match ratio in a single season in Ligue 1 (1994-)</t>
  </si>
  <si>
    <t>RC Lens</t>
  </si>
  <si>
    <t>Olympique de Marseille</t>
  </si>
  <si>
    <t>OGC Nice</t>
  </si>
  <si>
    <t>Olymique Lyonnais</t>
  </si>
  <si>
    <t>Top 10 teams with the best points/match ratio in a single season in Ligue 1 (1994-)</t>
  </si>
  <si>
    <t>Top 10 teams with the best goals conceded/match ratio in a single season in Ligue 1 (1994-)</t>
  </si>
  <si>
    <t>LOSC Lille</t>
  </si>
  <si>
    <t>Girondins de Bordeaux</t>
  </si>
  <si>
    <t>2001-2002</t>
  </si>
  <si>
    <t>Top 10 teams with the best points/match ratio in a single season without winning the title in Ligue 1 (1955-)</t>
  </si>
  <si>
    <t>Top 10 teams with the best goals scored/match ratio in a single season in Ligue 1 (1955-)</t>
  </si>
  <si>
    <t>Racing Paris</t>
  </si>
  <si>
    <t>Stade de Reims</t>
  </si>
  <si>
    <t>FC Nantes</t>
  </si>
  <si>
    <t>AS Saint Etienne</t>
  </si>
  <si>
    <t>Top 10 teams with the best points/match ratio in a single season in Ligue 1 (1955-)</t>
  </si>
  <si>
    <t>Top 10 teams with the best goals conceded/match ratio in a single season in Ligue 1 (1955-)</t>
  </si>
  <si>
    <t>1965-1966</t>
  </si>
  <si>
    <t>1989-1990</t>
  </si>
  <si>
    <t>1992-1993</t>
  </si>
  <si>
    <t>Top 15 teams with the best points/match ratio in a single season without winning the title in Ligue 1 (All Time)</t>
  </si>
  <si>
    <t>Top 15 teams with the best goals scored/match ratio in a single season in Ligue 1 (All Time)</t>
  </si>
  <si>
    <t>Olympique Lillois</t>
  </si>
  <si>
    <t>FC Sète</t>
  </si>
  <si>
    <t>Top 15 teams with the best points/match ratio in a single season in Ligue 1 (All Time)</t>
  </si>
  <si>
    <t>Top 15 teams with the best goals conceded/match ratio in a single season in Ligue 1 (All Time)</t>
  </si>
  <si>
    <t>39 (2 pts per win)</t>
  </si>
  <si>
    <t>1953-1954</t>
  </si>
  <si>
    <t>CO Roubaix-Tourcoing</t>
  </si>
  <si>
    <t>Top 10 teams with the best points/match ratio in a single season without winning the title in Liga (1995-)</t>
  </si>
  <si>
    <t>Top 10 teams with the best goals scored/match ratio in a single season in Liga (1995-)</t>
  </si>
  <si>
    <t>Top 10 teams with the best points/match ratio in a single season in Liga (1995-)</t>
  </si>
  <si>
    <t>Top 10 teams with the best goals conceded/match ratio in a single season in Liga (1995-)</t>
  </si>
  <si>
    <t xml:space="preserve">  </t>
  </si>
  <si>
    <t>Top 10 teams with the best points/match ratio in a single season without winning the title in Liga (1955-)</t>
  </si>
  <si>
    <t>Top 10 teams with the best goals scored/match ratio in a single season in Liga (1955-)</t>
  </si>
  <si>
    <t>Real Sociedad</t>
  </si>
  <si>
    <t>Top 10 teams with the best points/match ratio in a single season in Liga (1955-)</t>
  </si>
  <si>
    <t>Top 10 teams with the best goals conceded/match ratio in a single season in Liga (1955-)</t>
  </si>
  <si>
    <t>Top 15 teams with the best points/match ratio in a single season without winning the title in Liga (All Time)</t>
  </si>
  <si>
    <t>Top 15 teams with the best goals scored/match ratio in a single season in Liga (All Time)</t>
  </si>
  <si>
    <t>Top 15 teams with the best points/match ratio in a single season in Liga (All Time)</t>
  </si>
  <si>
    <t>Top 15 teams with the best goals conceded/match ratio in a single season in Liga (All Time)</t>
  </si>
  <si>
    <t>1986-1987</t>
  </si>
  <si>
    <t>Real Betis</t>
  </si>
  <si>
    <t>Top 10 teams with the best points/match ratio in a single season without winning the title in Bundesliga (1995-)</t>
  </si>
  <si>
    <t>Top 10 teams with the best goals scored/match ratio in a single season in Bundesliga (1995-)</t>
  </si>
  <si>
    <t>VFB Stuttgart</t>
  </si>
  <si>
    <t>Werder Bremen</t>
  </si>
  <si>
    <t>Top 10 teams with the best points/match ratio in a single season in Bundesliga (1995-)</t>
  </si>
  <si>
    <t>Borussia Mönchengladbach</t>
  </si>
  <si>
    <t>Top 15 teams with the best points/match ratio in a single season without winning the title in Bundesliga (All Time)</t>
  </si>
  <si>
    <t>Top 15 teams with the best goals scored/match ratio in a single season in Bundesliga (All Time)</t>
  </si>
  <si>
    <t>1982-1983</t>
  </si>
  <si>
    <t>Schalke 04</t>
  </si>
  <si>
    <t>Hamburger SV</t>
  </si>
  <si>
    <t>1973-1974</t>
  </si>
  <si>
    <t>Top 15 teams with the best points/match ratio in a single season in Bundesliga (All Time)</t>
  </si>
  <si>
    <t>Top 15 teams with the best goals conceded/match ratio in a single season in Bundesliga (All Time)</t>
  </si>
  <si>
    <t>Top 10 teams with the best points/match ratio in a single season without winning the title in Eredivisie (1995-)</t>
  </si>
  <si>
    <t>Top 10 teams with the best goals scored/match ratio in a single season in Eredivisie (1995-)</t>
  </si>
  <si>
    <t>Top 10 teams with the best points/match ratio in a single season in Eredivisie (1995-)</t>
  </si>
  <si>
    <t>Top 10 teams with the best goals conceded/match ratio in a single season in Eredivisie (1995-)</t>
  </si>
  <si>
    <t>AZ Alkmaar</t>
  </si>
  <si>
    <t>Top 15 teams with the best points/match ratio in a single season without winning the title in Eredivisie (All Time)</t>
  </si>
  <si>
    <t>Top 15 teams with the best goals scored/match ratio in a single season in Eredivisie (All Time)</t>
  </si>
  <si>
    <t>1967-1968</t>
  </si>
  <si>
    <t>Roda JC</t>
  </si>
  <si>
    <t>Top 15 teams with the best points/match ratio in a single season in Eredivisie (All Time)</t>
  </si>
  <si>
    <t>Top 15 teams with the best goals conceded/match ratio in a single season in Eredivisie (All Time)</t>
  </si>
  <si>
    <t>S.C. Braga</t>
  </si>
  <si>
    <t xml:space="preserve"> </t>
  </si>
  <si>
    <t>1958-1989</t>
  </si>
  <si>
    <t>1936-1937</t>
  </si>
  <si>
    <t>28 (2 pts per win)</t>
  </si>
  <si>
    <t>Unidos de Lisboa</t>
  </si>
  <si>
    <t>Top 10 teams with the best points/match ratio in a single season without winning the title in Nemzeti Bajnokság I (1994-)</t>
  </si>
  <si>
    <t>Top 10 teams with the best goals scored/match ratio in a single season in Nemzeti Bajnokság I (1994-)</t>
  </si>
  <si>
    <t>1996-1997</t>
  </si>
  <si>
    <t>Videoton (Fehérvár)</t>
  </si>
  <si>
    <t>Dunaferr</t>
  </si>
  <si>
    <t>Debrecen</t>
  </si>
  <si>
    <t>Paksi FC</t>
  </si>
  <si>
    <t>Fehérvár</t>
  </si>
  <si>
    <t xml:space="preserve">ETO FC Győr </t>
  </si>
  <si>
    <t xml:space="preserve">MTK Budapest </t>
  </si>
  <si>
    <t>Top 10 teams with the best points/match ratio in a single season in Nemzeti Bajnokság I (1994-)</t>
  </si>
  <si>
    <t>Top 10 teams with the best goals conceded/match ratio in a single season in Nemzeti Bajnokság I (1994-)</t>
  </si>
  <si>
    <t xml:space="preserve">	Győr</t>
  </si>
  <si>
    <t>Top 10 teams with the best points/match ratio in a single season without winning the title in Nemzeti Bajnokság I (1955-)</t>
  </si>
  <si>
    <t>Top 10 teams with the best goals scored/match ratio in a single season in Nemzeti Bajnokság I (1955-)</t>
  </si>
  <si>
    <t xml:space="preserve">60 (2 pts per win) </t>
  </si>
  <si>
    <t>Vác FC</t>
  </si>
  <si>
    <t>Budapest Honvéd</t>
  </si>
  <si>
    <t>Top 10 teams with the best points/match ratio in a single season in Nemzeti Bajnokság I (1955-)</t>
  </si>
  <si>
    <t>Top 10 teams with the best goals conceded/match ratio in a single season in Nemzeti Bajnokság I (1955-)</t>
  </si>
  <si>
    <t xml:space="preserve"> 1991-1992</t>
  </si>
  <si>
    <t>Újpest FC</t>
  </si>
  <si>
    <t xml:space="preserve">	Budapest Honvéd FC</t>
  </si>
  <si>
    <t>Top 15 teams with the best points/match ratio in a single season without winning the title in Nemzeti Bajnokság I (All Time)</t>
  </si>
  <si>
    <t>Top 15 teams with the best goals scored/match ratio in a single season in Nemzeti Bajnokság I (All Time)</t>
  </si>
  <si>
    <t>1928-1929</t>
  </si>
  <si>
    <t>1921-1922</t>
  </si>
  <si>
    <t>Top 15 teams with the best points/match ratio in a single season in Nemzeti Bajnokság I (All Time)</t>
  </si>
  <si>
    <t>Top 15 teams with the best goals conceded/match ratio in a single season in Nemzeti Bajnokság I (All Time)</t>
  </si>
  <si>
    <t xml:space="preserve">Budapesti TC	</t>
  </si>
  <si>
    <t>1922-1923</t>
  </si>
  <si>
    <t>30 (2 pts per win)</t>
  </si>
  <si>
    <t xml:space="preserve">Budapesti Postás SE	</t>
  </si>
  <si>
    <t>1910-1911</t>
  </si>
  <si>
    <t>Stat sheets covering the top 5 European leagues combined, all 8 European leagues combined, and then individual leagues</t>
  </si>
  <si>
    <t>Top teams with the best goals scored or conceded/match ratio in a single season</t>
  </si>
  <si>
    <t>The ratio of points per match for the team seasons before the 3 points victory are put on a 3 points scale with the following formula: (Points earned/Maximum points possible to earn)*3</t>
  </si>
  <si>
    <t xml:space="preserve">Points/Match Ratio </t>
  </si>
  <si>
    <t>Juventus Turin</t>
  </si>
  <si>
    <t xml:space="preserve">Deportivo </t>
  </si>
  <si>
    <t>Deportivo</t>
  </si>
  <si>
    <t>Atletico Madrid</t>
  </si>
  <si>
    <t>Top 10 teams with the best goals conceded/match ratio in a single season in Bundesliga (1995-)</t>
  </si>
  <si>
    <t>Ajax Amsterdam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</si>
</sst>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" fillId="3" borderId="1" xfId="1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workbookViewId="0">
      <selection activeCell="A5" sqref="A5:N6"/>
    </sheetView>
  </sheetViews>
  <sheetFormatPr baseColWidth="10" defaultRowHeight="15" x14ac:dyDescent="0.25"/>
  <cols>
    <col min="14" max="14" width="42.5703125" customWidth="1"/>
  </cols>
  <sheetData>
    <row r="1" spans="1:14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x14ac:dyDescent="0.25">
      <c r="A4" s="17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x14ac:dyDescent="0.25">
      <c r="A5" s="19" t="s">
        <v>363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25">
      <c r="A7" s="18" t="s">
        <v>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25">
      <c r="A9" s="18" t="s">
        <v>364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 ht="15" customHeight="1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5" customHeight="1" x14ac:dyDescent="0.25">
      <c r="A11" s="14" t="s">
        <v>365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</sheetData>
  <mergeCells count="6">
    <mergeCell ref="A11:N12"/>
    <mergeCell ref="A9:N10"/>
    <mergeCell ref="A1:N3"/>
    <mergeCell ref="A4:N4"/>
    <mergeCell ref="A7:N8"/>
    <mergeCell ref="A5:N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8"/>
  <sheetViews>
    <sheetView workbookViewId="0">
      <selection activeCell="L25" sqref="L25"/>
    </sheetView>
  </sheetViews>
  <sheetFormatPr baseColWidth="10" defaultRowHeight="15" x14ac:dyDescent="0.25"/>
  <cols>
    <col min="1" max="1" width="15" customWidth="1"/>
    <col min="2" max="2" width="24" bestFit="1" customWidth="1"/>
    <col min="3" max="3" width="17.28515625" customWidth="1"/>
    <col min="4" max="4" width="16.42578125" customWidth="1"/>
    <col min="5" max="5" width="22.42578125" bestFit="1" customWidth="1"/>
    <col min="6" max="6" width="16" customWidth="1"/>
    <col min="7" max="7" width="33.5703125" customWidth="1"/>
    <col min="11" max="11" width="23.5703125" customWidth="1"/>
    <col min="12" max="12" width="16.140625" customWidth="1"/>
    <col min="13" max="13" width="19" bestFit="1" customWidth="1"/>
    <col min="14" max="14" width="23.42578125" bestFit="1" customWidth="1"/>
    <col min="15" max="15" width="13.85546875" bestFit="1" customWidth="1"/>
    <col min="16" max="16" width="33.5703125" bestFit="1" customWidth="1"/>
  </cols>
  <sheetData>
    <row r="1" spans="1:25" ht="18.75" customHeight="1" x14ac:dyDescent="0.3">
      <c r="A1" s="21" t="s">
        <v>2</v>
      </c>
      <c r="B1" s="23"/>
      <c r="C1" s="23"/>
      <c r="D1" s="23"/>
      <c r="E1" s="23"/>
      <c r="F1" s="23"/>
      <c r="G1" s="23"/>
      <c r="H1" s="1"/>
      <c r="I1" s="1"/>
      <c r="J1" s="21" t="s">
        <v>3</v>
      </c>
      <c r="K1" s="23"/>
      <c r="L1" s="23"/>
      <c r="M1" s="23"/>
      <c r="N1" s="23"/>
      <c r="O1" s="23"/>
      <c r="P1" s="23"/>
      <c r="Q1" s="1"/>
      <c r="R1" s="1"/>
      <c r="S1" s="1"/>
      <c r="T1" s="1"/>
      <c r="U1" s="1"/>
      <c r="V1" s="1"/>
      <c r="W1" s="1"/>
      <c r="X1" s="1"/>
      <c r="Y1" s="1"/>
    </row>
    <row r="2" spans="1:25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1"/>
      <c r="I2" s="1"/>
      <c r="J2" s="2" t="s">
        <v>4</v>
      </c>
      <c r="K2" s="2" t="s">
        <v>5</v>
      </c>
      <c r="L2" s="2" t="s">
        <v>6</v>
      </c>
      <c r="M2" s="2" t="s">
        <v>11</v>
      </c>
      <c r="N2" s="2" t="s">
        <v>8</v>
      </c>
      <c r="O2" s="2" t="s">
        <v>9</v>
      </c>
      <c r="P2" s="2" t="s">
        <v>12</v>
      </c>
      <c r="Q2" s="1"/>
      <c r="R2" s="1"/>
      <c r="S2" s="1"/>
      <c r="T2" s="1"/>
      <c r="U2" s="1"/>
      <c r="V2" s="1"/>
      <c r="W2" s="1"/>
      <c r="X2" s="1"/>
      <c r="Y2" s="1"/>
    </row>
    <row r="3" spans="1:25" ht="18.75" customHeight="1" x14ac:dyDescent="0.3">
      <c r="A3" s="2">
        <v>1</v>
      </c>
      <c r="B3" s="3" t="s">
        <v>13</v>
      </c>
      <c r="C3" s="3" t="s">
        <v>14</v>
      </c>
      <c r="D3" s="3">
        <v>97</v>
      </c>
      <c r="E3" s="3">
        <v>38</v>
      </c>
      <c r="F3" s="3" t="s">
        <v>15</v>
      </c>
      <c r="G3" s="4">
        <f t="shared" ref="G3:G19" si="0">D3/E3</f>
        <v>2.5526315789473686</v>
      </c>
      <c r="H3" s="1"/>
      <c r="I3" s="1"/>
      <c r="J3" s="2">
        <v>1</v>
      </c>
      <c r="K3" s="3" t="s">
        <v>16</v>
      </c>
      <c r="L3" s="3" t="s">
        <v>17</v>
      </c>
      <c r="M3" s="3">
        <v>122</v>
      </c>
      <c r="N3" s="3">
        <v>34</v>
      </c>
      <c r="O3" s="3" t="s">
        <v>18</v>
      </c>
      <c r="P3" s="5">
        <f t="shared" ref="P3:P17" si="1">M3/N3</f>
        <v>3.5882352941176472</v>
      </c>
      <c r="Q3" s="1"/>
      <c r="R3" s="1"/>
      <c r="S3" s="1"/>
      <c r="T3" s="1"/>
      <c r="U3" s="1"/>
      <c r="V3" s="1"/>
      <c r="W3" s="1"/>
      <c r="X3" s="1"/>
      <c r="Y3" s="1"/>
    </row>
    <row r="4" spans="1:25" ht="18.75" customHeight="1" x14ac:dyDescent="0.3">
      <c r="A4" s="2">
        <f>A3+1</f>
        <v>2</v>
      </c>
      <c r="B4" s="3" t="s">
        <v>19</v>
      </c>
      <c r="C4" s="3" t="s">
        <v>20</v>
      </c>
      <c r="D4" s="3">
        <v>96</v>
      </c>
      <c r="E4" s="3">
        <v>38</v>
      </c>
      <c r="F4" s="3" t="s">
        <v>15</v>
      </c>
      <c r="G4" s="5">
        <f t="shared" si="0"/>
        <v>2.5263157894736841</v>
      </c>
      <c r="H4" s="1"/>
      <c r="I4" s="1"/>
      <c r="J4" s="2">
        <f t="shared" ref="J4:J12" si="2">J3+1</f>
        <v>2</v>
      </c>
      <c r="K4" s="3" t="s">
        <v>19</v>
      </c>
      <c r="L4" s="3" t="s">
        <v>21</v>
      </c>
      <c r="M4" s="3">
        <v>121</v>
      </c>
      <c r="N4" s="3">
        <v>38</v>
      </c>
      <c r="O4" s="3" t="s">
        <v>18</v>
      </c>
      <c r="P4" s="5">
        <f t="shared" si="1"/>
        <v>3.1842105263157894</v>
      </c>
      <c r="Q4" s="1"/>
      <c r="R4" s="1"/>
      <c r="S4" s="1"/>
      <c r="T4" s="1"/>
      <c r="U4" s="1"/>
      <c r="V4" s="1"/>
      <c r="W4" s="1"/>
      <c r="X4" s="1"/>
      <c r="Y4" s="1"/>
    </row>
    <row r="5" spans="1:25" ht="18.75" customHeight="1" x14ac:dyDescent="0.3">
      <c r="A5" s="2">
        <f>A4+1</f>
        <v>3</v>
      </c>
      <c r="B5" s="3" t="s">
        <v>19</v>
      </c>
      <c r="C5" s="3" t="s">
        <v>22</v>
      </c>
      <c r="D5" s="3">
        <v>92</v>
      </c>
      <c r="E5" s="3">
        <v>38</v>
      </c>
      <c r="F5" s="3" t="s">
        <v>15</v>
      </c>
      <c r="G5" s="5">
        <f t="shared" si="0"/>
        <v>2.4210526315789473</v>
      </c>
      <c r="H5" s="1"/>
      <c r="I5" s="1"/>
      <c r="J5" s="2">
        <f t="shared" si="2"/>
        <v>3</v>
      </c>
      <c r="K5" s="3" t="s">
        <v>19</v>
      </c>
      <c r="L5" s="3" t="s">
        <v>23</v>
      </c>
      <c r="M5" s="3">
        <v>118</v>
      </c>
      <c r="N5" s="3">
        <v>38</v>
      </c>
      <c r="O5" s="3" t="s">
        <v>15</v>
      </c>
      <c r="P5" s="5">
        <f t="shared" si="1"/>
        <v>3.1052631578947367</v>
      </c>
      <c r="Q5" s="1"/>
      <c r="R5" s="1"/>
      <c r="S5" s="1"/>
      <c r="T5" s="1"/>
      <c r="U5" s="1"/>
      <c r="V5" s="1"/>
      <c r="W5" s="1"/>
      <c r="X5" s="1"/>
      <c r="Y5" s="1"/>
    </row>
    <row r="6" spans="1:25" ht="18.75" customHeight="1" x14ac:dyDescent="0.3">
      <c r="A6" s="2">
        <f>A5</f>
        <v>3</v>
      </c>
      <c r="B6" s="3" t="s">
        <v>19</v>
      </c>
      <c r="C6" s="3" t="s">
        <v>23</v>
      </c>
      <c r="D6" s="3">
        <v>92</v>
      </c>
      <c r="E6" s="3">
        <v>38</v>
      </c>
      <c r="F6" s="3" t="s">
        <v>15</v>
      </c>
      <c r="G6" s="5">
        <f t="shared" si="0"/>
        <v>2.4210526315789473</v>
      </c>
      <c r="H6" s="1"/>
      <c r="I6" s="1"/>
      <c r="J6" s="2">
        <f t="shared" si="2"/>
        <v>4</v>
      </c>
      <c r="K6" s="3" t="s">
        <v>24</v>
      </c>
      <c r="L6" s="3" t="s">
        <v>25</v>
      </c>
      <c r="M6" s="3">
        <v>116</v>
      </c>
      <c r="N6" s="3">
        <v>38</v>
      </c>
      <c r="O6" s="3" t="s">
        <v>15</v>
      </c>
      <c r="P6" s="5">
        <f t="shared" si="1"/>
        <v>3.0526315789473686</v>
      </c>
      <c r="Q6" s="1"/>
      <c r="R6" s="1"/>
      <c r="S6" s="1"/>
      <c r="T6" s="1"/>
      <c r="U6" s="1"/>
      <c r="V6" s="1"/>
      <c r="W6" s="1"/>
      <c r="X6" s="1"/>
      <c r="Y6" s="1"/>
    </row>
    <row r="7" spans="1:25" ht="18.75" customHeight="1" x14ac:dyDescent="0.3">
      <c r="A7" s="2">
        <f>A6</f>
        <v>3</v>
      </c>
      <c r="B7" s="3" t="s">
        <v>13</v>
      </c>
      <c r="C7" s="3" t="s">
        <v>26</v>
      </c>
      <c r="D7" s="3">
        <v>92</v>
      </c>
      <c r="E7" s="3">
        <v>38</v>
      </c>
      <c r="F7" s="3" t="s">
        <v>15</v>
      </c>
      <c r="G7" s="4">
        <f t="shared" si="0"/>
        <v>2.4210526315789473</v>
      </c>
      <c r="H7" s="1"/>
      <c r="I7" s="1"/>
      <c r="J7" s="2">
        <f t="shared" si="2"/>
        <v>5</v>
      </c>
      <c r="K7" s="3" t="s">
        <v>24</v>
      </c>
      <c r="L7" s="3" t="s">
        <v>27</v>
      </c>
      <c r="M7" s="3">
        <v>115</v>
      </c>
      <c r="N7" s="3">
        <v>38</v>
      </c>
      <c r="O7" s="3" t="s">
        <v>18</v>
      </c>
      <c r="P7" s="5">
        <f t="shared" si="1"/>
        <v>3.0263157894736841</v>
      </c>
      <c r="Q7" s="1"/>
      <c r="R7" s="1"/>
      <c r="S7" s="1"/>
      <c r="T7" s="1"/>
      <c r="U7" s="1"/>
      <c r="V7" s="1"/>
      <c r="W7" s="1"/>
      <c r="X7" s="1"/>
      <c r="Y7" s="1"/>
    </row>
    <row r="8" spans="1:25" ht="18.75" customHeight="1" x14ac:dyDescent="0.3">
      <c r="A8" s="2">
        <f>A7+3</f>
        <v>6</v>
      </c>
      <c r="B8" s="3" t="s">
        <v>24</v>
      </c>
      <c r="C8" s="3" t="s">
        <v>21</v>
      </c>
      <c r="D8" s="3">
        <v>91</v>
      </c>
      <c r="E8" s="3">
        <v>38</v>
      </c>
      <c r="F8" s="3" t="s">
        <v>15</v>
      </c>
      <c r="G8" s="5">
        <f t="shared" si="0"/>
        <v>2.3947368421052633</v>
      </c>
      <c r="J8" s="2">
        <f t="shared" si="2"/>
        <v>6</v>
      </c>
      <c r="K8" s="3" t="s">
        <v>24</v>
      </c>
      <c r="L8" s="3" t="s">
        <v>21</v>
      </c>
      <c r="M8" s="3">
        <v>114</v>
      </c>
      <c r="N8" s="3">
        <v>38</v>
      </c>
      <c r="O8" s="3" t="s">
        <v>15</v>
      </c>
      <c r="P8" s="5">
        <f t="shared" si="1"/>
        <v>3</v>
      </c>
      <c r="Q8" s="1"/>
      <c r="R8" s="1"/>
      <c r="S8" s="1"/>
      <c r="T8" s="1"/>
      <c r="U8" s="1"/>
      <c r="V8" s="1"/>
      <c r="W8" s="1"/>
      <c r="X8" s="1"/>
      <c r="Y8" s="1"/>
    </row>
    <row r="9" spans="1:25" ht="18.75" customHeight="1" x14ac:dyDescent="0.3">
      <c r="A9" s="2">
        <f>A8</f>
        <v>6</v>
      </c>
      <c r="B9" s="3" t="s">
        <v>28</v>
      </c>
      <c r="C9" s="3" t="s">
        <v>29</v>
      </c>
      <c r="D9" s="3">
        <v>91</v>
      </c>
      <c r="E9" s="3">
        <v>38</v>
      </c>
      <c r="F9" s="3" t="s">
        <v>15</v>
      </c>
      <c r="G9" s="5">
        <f t="shared" si="0"/>
        <v>2.3947368421052633</v>
      </c>
      <c r="H9" s="1"/>
      <c r="I9" s="1"/>
      <c r="J9" s="2">
        <f t="shared" si="2"/>
        <v>7</v>
      </c>
      <c r="K9" s="3" t="s">
        <v>24</v>
      </c>
      <c r="L9" s="3" t="s">
        <v>30</v>
      </c>
      <c r="M9" s="3">
        <v>112</v>
      </c>
      <c r="N9" s="3">
        <v>38</v>
      </c>
      <c r="O9" s="3" t="s">
        <v>18</v>
      </c>
      <c r="P9" s="5">
        <f t="shared" si="1"/>
        <v>2.9473684210526314</v>
      </c>
      <c r="Q9" s="1"/>
      <c r="R9" s="1"/>
      <c r="S9" s="1"/>
      <c r="T9" s="1"/>
      <c r="U9" s="1"/>
      <c r="V9" s="1"/>
      <c r="W9" s="1"/>
      <c r="X9" s="1"/>
      <c r="Y9" s="1"/>
    </row>
    <row r="10" spans="1:25" ht="18.75" customHeight="1" x14ac:dyDescent="0.3">
      <c r="A10" s="2">
        <f>A9+2</f>
        <v>8</v>
      </c>
      <c r="B10" s="3" t="s">
        <v>24</v>
      </c>
      <c r="C10" s="3" t="s">
        <v>25</v>
      </c>
      <c r="D10" s="3">
        <v>90</v>
      </c>
      <c r="E10" s="3">
        <v>38</v>
      </c>
      <c r="F10" s="3" t="s">
        <v>15</v>
      </c>
      <c r="G10" s="5">
        <f t="shared" si="0"/>
        <v>2.3684210526315788</v>
      </c>
      <c r="J10" s="2">
        <f t="shared" si="2"/>
        <v>8</v>
      </c>
      <c r="K10" s="3" t="s">
        <v>16</v>
      </c>
      <c r="L10" s="3" t="s">
        <v>31</v>
      </c>
      <c r="M10" s="3">
        <v>100</v>
      </c>
      <c r="N10" s="3">
        <v>34</v>
      </c>
      <c r="O10" s="3" t="s">
        <v>18</v>
      </c>
      <c r="P10" s="5">
        <f t="shared" si="1"/>
        <v>2.9411764705882355</v>
      </c>
      <c r="Q10" s="1"/>
      <c r="R10" s="1"/>
      <c r="S10" s="1"/>
      <c r="T10" s="1"/>
      <c r="U10" s="1"/>
      <c r="V10" s="1"/>
      <c r="W10" s="1"/>
      <c r="X10" s="1"/>
      <c r="Y10" s="1"/>
    </row>
    <row r="11" spans="1:25" ht="18.75" customHeight="1" x14ac:dyDescent="0.3">
      <c r="A11" s="2">
        <f>A10</f>
        <v>8</v>
      </c>
      <c r="B11" s="3" t="s">
        <v>19</v>
      </c>
      <c r="C11" s="3" t="s">
        <v>30</v>
      </c>
      <c r="D11" s="3">
        <v>90</v>
      </c>
      <c r="E11" s="3">
        <v>38</v>
      </c>
      <c r="F11" s="3" t="s">
        <v>15</v>
      </c>
      <c r="G11" s="5">
        <f t="shared" si="0"/>
        <v>2.3684210526315788</v>
      </c>
      <c r="H11" s="1"/>
      <c r="I11" s="1"/>
      <c r="J11" s="2">
        <f t="shared" si="2"/>
        <v>9</v>
      </c>
      <c r="K11" s="3" t="s">
        <v>16</v>
      </c>
      <c r="L11" s="3" t="s">
        <v>32</v>
      </c>
      <c r="M11" s="3">
        <v>99</v>
      </c>
      <c r="N11" s="3">
        <v>34</v>
      </c>
      <c r="O11" s="3" t="s">
        <v>18</v>
      </c>
      <c r="P11" s="5">
        <f t="shared" si="1"/>
        <v>2.9117647058823528</v>
      </c>
      <c r="Q11" s="1"/>
      <c r="R11" s="1"/>
      <c r="S11" s="1"/>
      <c r="T11" s="1"/>
      <c r="U11" s="1"/>
      <c r="V11" s="1"/>
      <c r="W11" s="1"/>
      <c r="X11" s="1"/>
      <c r="Y11" s="1"/>
    </row>
    <row r="12" spans="1:25" ht="18.75" customHeight="1" x14ac:dyDescent="0.3">
      <c r="A12" s="2">
        <f>A11+2</f>
        <v>10</v>
      </c>
      <c r="B12" s="3" t="s">
        <v>33</v>
      </c>
      <c r="C12" s="3" t="s">
        <v>21</v>
      </c>
      <c r="D12" s="3">
        <v>89</v>
      </c>
      <c r="E12" s="3">
        <v>38</v>
      </c>
      <c r="F12" s="3" t="s">
        <v>15</v>
      </c>
      <c r="G12" s="4">
        <f t="shared" si="0"/>
        <v>2.3421052631578947</v>
      </c>
      <c r="H12" s="1"/>
      <c r="I12" s="1"/>
      <c r="J12" s="2">
        <f t="shared" si="2"/>
        <v>10</v>
      </c>
      <c r="K12" s="3" t="s">
        <v>24</v>
      </c>
      <c r="L12" s="3" t="s">
        <v>23</v>
      </c>
      <c r="M12" s="3">
        <v>110</v>
      </c>
      <c r="N12" s="3">
        <v>38</v>
      </c>
      <c r="O12" s="3" t="s">
        <v>18</v>
      </c>
      <c r="P12" s="5">
        <f t="shared" si="1"/>
        <v>2.8947368421052633</v>
      </c>
      <c r="Q12" s="1"/>
      <c r="R12" s="1"/>
      <c r="S12" s="1"/>
      <c r="T12" s="1"/>
      <c r="U12" s="1"/>
      <c r="V12" s="1"/>
      <c r="W12" s="1"/>
      <c r="X12" s="1"/>
      <c r="Y12" s="1"/>
    </row>
    <row r="13" spans="1:25" ht="18.75" customHeight="1" x14ac:dyDescent="0.3">
      <c r="A13" s="2">
        <f>A12</f>
        <v>10</v>
      </c>
      <c r="B13" s="3" t="s">
        <v>34</v>
      </c>
      <c r="C13" s="3" t="s">
        <v>35</v>
      </c>
      <c r="D13" s="3">
        <v>89</v>
      </c>
      <c r="E13" s="3">
        <v>38</v>
      </c>
      <c r="F13" s="3" t="s">
        <v>15</v>
      </c>
      <c r="G13" s="4">
        <f t="shared" si="0"/>
        <v>2.3421052631578947</v>
      </c>
      <c r="H13" s="1"/>
      <c r="I13" s="1"/>
      <c r="J13" s="2">
        <f>J12</f>
        <v>10</v>
      </c>
      <c r="K13" s="3" t="s">
        <v>19</v>
      </c>
      <c r="L13" s="3" t="s">
        <v>30</v>
      </c>
      <c r="M13" s="3">
        <v>110</v>
      </c>
      <c r="N13" s="3">
        <v>38</v>
      </c>
      <c r="O13" s="3" t="s">
        <v>15</v>
      </c>
      <c r="P13" s="5">
        <f t="shared" si="1"/>
        <v>2.8947368421052633</v>
      </c>
      <c r="Q13" s="1"/>
      <c r="R13" s="1"/>
      <c r="S13" s="1"/>
      <c r="T13" s="1"/>
      <c r="U13" s="1"/>
      <c r="V13" s="1"/>
      <c r="W13" s="1"/>
      <c r="X13" s="1"/>
      <c r="Y13" s="1"/>
    </row>
    <row r="14" spans="1:25" ht="18.75" customHeight="1" x14ac:dyDescent="0.3">
      <c r="A14" s="2">
        <f>A13+2</f>
        <v>12</v>
      </c>
      <c r="B14" s="3" t="s">
        <v>36</v>
      </c>
      <c r="C14" s="3" t="s">
        <v>37</v>
      </c>
      <c r="D14" s="3">
        <v>88</v>
      </c>
      <c r="E14" s="3">
        <v>38</v>
      </c>
      <c r="F14" s="3" t="s">
        <v>38</v>
      </c>
      <c r="G14" s="5">
        <f t="shared" si="0"/>
        <v>2.3157894736842106</v>
      </c>
      <c r="H14" s="1"/>
      <c r="I14" s="1"/>
      <c r="J14" s="2">
        <f>J13+2</f>
        <v>12</v>
      </c>
      <c r="K14" s="3" t="s">
        <v>16</v>
      </c>
      <c r="L14" s="3" t="s">
        <v>27</v>
      </c>
      <c r="M14" s="3">
        <v>98</v>
      </c>
      <c r="N14" s="3">
        <v>34</v>
      </c>
      <c r="O14" s="3" t="s">
        <v>18</v>
      </c>
      <c r="P14" s="5">
        <f t="shared" si="1"/>
        <v>2.8823529411764706</v>
      </c>
      <c r="Q14" s="1"/>
      <c r="R14" s="1"/>
      <c r="S14" s="1"/>
      <c r="T14" s="1"/>
      <c r="U14" s="1"/>
      <c r="V14" s="1"/>
      <c r="W14" s="1"/>
      <c r="X14" s="1"/>
      <c r="Y14" s="1"/>
    </row>
    <row r="15" spans="1:25" ht="18.75" customHeight="1" x14ac:dyDescent="0.3">
      <c r="A15" s="2">
        <f>A14+1</f>
        <v>13</v>
      </c>
      <c r="B15" s="3" t="s">
        <v>39</v>
      </c>
      <c r="C15" s="3" t="s">
        <v>30</v>
      </c>
      <c r="D15" s="3">
        <v>78</v>
      </c>
      <c r="E15" s="3">
        <v>34</v>
      </c>
      <c r="F15" s="3" t="s">
        <v>15</v>
      </c>
      <c r="G15" s="5">
        <f t="shared" si="0"/>
        <v>2.2941176470588234</v>
      </c>
      <c r="H15" s="1"/>
      <c r="I15" s="1"/>
      <c r="J15" s="2">
        <f>J14+1</f>
        <v>13</v>
      </c>
      <c r="K15" s="3" t="s">
        <v>16</v>
      </c>
      <c r="L15" s="3" t="s">
        <v>26</v>
      </c>
      <c r="M15" s="3">
        <v>97</v>
      </c>
      <c r="N15" s="3">
        <v>34</v>
      </c>
      <c r="O15" s="3" t="s">
        <v>18</v>
      </c>
      <c r="P15" s="5">
        <f t="shared" si="1"/>
        <v>2.8529411764705883</v>
      </c>
      <c r="Q15" s="1"/>
      <c r="R15" s="1"/>
      <c r="S15" s="1"/>
      <c r="T15" s="1"/>
      <c r="U15" s="1"/>
      <c r="V15" s="1"/>
      <c r="W15" s="1"/>
      <c r="X15" s="1"/>
      <c r="Y15" s="1"/>
    </row>
    <row r="16" spans="1:25" ht="18.75" customHeight="1" x14ac:dyDescent="0.3">
      <c r="A16" s="2">
        <f>A15</f>
        <v>13</v>
      </c>
      <c r="B16" s="3" t="s">
        <v>24</v>
      </c>
      <c r="C16" s="3" t="s">
        <v>40</v>
      </c>
      <c r="D16" s="3">
        <v>87</v>
      </c>
      <c r="E16" s="3">
        <v>38</v>
      </c>
      <c r="F16" s="3" t="s">
        <v>15</v>
      </c>
      <c r="G16" s="5">
        <f t="shared" si="0"/>
        <v>2.2894736842105261</v>
      </c>
      <c r="H16" s="1"/>
      <c r="I16" s="1"/>
      <c r="J16" s="2">
        <f>J15+1</f>
        <v>14</v>
      </c>
      <c r="K16" s="3" t="s">
        <v>41</v>
      </c>
      <c r="L16" s="3" t="s">
        <v>29</v>
      </c>
      <c r="M16" s="3">
        <v>108</v>
      </c>
      <c r="N16" s="3">
        <v>38</v>
      </c>
      <c r="O16" s="3" t="s">
        <v>18</v>
      </c>
      <c r="P16" s="5">
        <f t="shared" si="1"/>
        <v>2.8421052631578947</v>
      </c>
      <c r="Q16" s="1"/>
      <c r="R16" s="1"/>
      <c r="S16" s="1"/>
      <c r="T16" s="1"/>
      <c r="U16" s="1"/>
      <c r="V16" s="1"/>
      <c r="W16" s="1"/>
      <c r="X16" s="1"/>
      <c r="Y16" s="1"/>
    </row>
    <row r="17" spans="1:25" ht="18.75" customHeight="1" x14ac:dyDescent="0.3">
      <c r="A17" s="2">
        <f>A18</f>
        <v>13</v>
      </c>
      <c r="B17" s="3" t="s">
        <v>42</v>
      </c>
      <c r="C17" s="3" t="s">
        <v>25</v>
      </c>
      <c r="D17" s="3">
        <v>87</v>
      </c>
      <c r="E17" s="3">
        <v>38</v>
      </c>
      <c r="F17" s="3" t="s">
        <v>15</v>
      </c>
      <c r="G17" s="5">
        <f t="shared" si="0"/>
        <v>2.2894736842105261</v>
      </c>
      <c r="H17" s="1"/>
      <c r="I17" s="1"/>
      <c r="J17" s="2">
        <f>J16+1</f>
        <v>15</v>
      </c>
      <c r="K17" s="3" t="s">
        <v>43</v>
      </c>
      <c r="L17" s="3" t="s">
        <v>29</v>
      </c>
      <c r="M17" s="3">
        <v>107</v>
      </c>
      <c r="N17" s="3">
        <v>38</v>
      </c>
      <c r="O17" s="3" t="s">
        <v>18</v>
      </c>
      <c r="P17" s="5">
        <f t="shared" si="1"/>
        <v>2.8157894736842106</v>
      </c>
      <c r="Q17" s="1"/>
      <c r="R17" s="1"/>
      <c r="S17" s="1"/>
      <c r="T17" s="1"/>
      <c r="U17" s="1"/>
      <c r="V17" s="1"/>
      <c r="W17" s="1"/>
      <c r="X17" s="1"/>
      <c r="Y17" s="1"/>
    </row>
    <row r="18" spans="1:25" ht="18.75" customHeight="1" x14ac:dyDescent="0.3">
      <c r="A18" s="2">
        <f>A19</f>
        <v>13</v>
      </c>
      <c r="B18" s="3" t="s">
        <v>41</v>
      </c>
      <c r="C18" s="3" t="s">
        <v>25</v>
      </c>
      <c r="D18" s="3">
        <v>87</v>
      </c>
      <c r="E18" s="3">
        <v>38</v>
      </c>
      <c r="F18" s="3" t="s">
        <v>15</v>
      </c>
      <c r="G18" s="5">
        <f t="shared" si="0"/>
        <v>2.2894736842105261</v>
      </c>
      <c r="H18" s="1"/>
      <c r="I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.75" customHeight="1" x14ac:dyDescent="0.3">
      <c r="A19" s="2">
        <f>A16</f>
        <v>13</v>
      </c>
      <c r="B19" s="3" t="s">
        <v>19</v>
      </c>
      <c r="C19" s="3" t="s">
        <v>40</v>
      </c>
      <c r="D19" s="3">
        <v>87</v>
      </c>
      <c r="E19" s="3">
        <v>38</v>
      </c>
      <c r="F19" s="3" t="s">
        <v>44</v>
      </c>
      <c r="G19" s="5">
        <f t="shared" si="0"/>
        <v>2.2894736842105261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.75" customHeight="1" x14ac:dyDescent="0.3">
      <c r="H20" s="1"/>
      <c r="I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.75" customHeight="1" x14ac:dyDescent="0.3">
      <c r="H21" s="1"/>
      <c r="I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.75" customHeight="1" x14ac:dyDescent="0.3">
      <c r="A22" s="22" t="s">
        <v>45</v>
      </c>
      <c r="B22" s="24"/>
      <c r="C22" s="24"/>
      <c r="D22" s="24"/>
      <c r="E22" s="24"/>
      <c r="F22" s="24"/>
      <c r="G22" s="24"/>
      <c r="H22" s="1"/>
      <c r="I22" s="1"/>
      <c r="J22" s="22" t="s">
        <v>46</v>
      </c>
      <c r="K22" s="24"/>
      <c r="L22" s="24"/>
      <c r="M22" s="24"/>
      <c r="N22" s="24"/>
      <c r="O22" s="24"/>
      <c r="P22" s="24"/>
      <c r="Q22" s="1"/>
      <c r="R22" s="1"/>
      <c r="S22" s="1"/>
      <c r="T22" s="1"/>
      <c r="U22" s="1"/>
      <c r="V22" s="1"/>
      <c r="W22" s="1"/>
      <c r="X22" s="1"/>
      <c r="Y22" s="1"/>
    </row>
    <row r="23" spans="1:25" ht="18.75" customHeight="1" x14ac:dyDescent="0.3">
      <c r="A23" s="2" t="s">
        <v>4</v>
      </c>
      <c r="B23" s="2" t="s">
        <v>5</v>
      </c>
      <c r="C23" s="2" t="s">
        <v>6</v>
      </c>
      <c r="D23" s="2" t="s">
        <v>7</v>
      </c>
      <c r="E23" s="2" t="s">
        <v>8</v>
      </c>
      <c r="F23" s="2" t="s">
        <v>9</v>
      </c>
      <c r="G23" s="2" t="s">
        <v>10</v>
      </c>
      <c r="H23" s="1"/>
      <c r="I23" s="1"/>
      <c r="J23" s="2" t="s">
        <v>4</v>
      </c>
      <c r="K23" s="2" t="s">
        <v>5</v>
      </c>
      <c r="L23" s="2" t="s">
        <v>6</v>
      </c>
      <c r="M23" s="2" t="s">
        <v>201</v>
      </c>
      <c r="N23" s="2" t="s">
        <v>8</v>
      </c>
      <c r="O23" s="2" t="s">
        <v>9</v>
      </c>
      <c r="P23" s="2" t="s">
        <v>202</v>
      </c>
      <c r="Q23" s="1"/>
      <c r="R23" s="1"/>
      <c r="S23" s="1"/>
      <c r="T23" s="1"/>
      <c r="U23" s="1"/>
      <c r="V23" s="1"/>
      <c r="W23" s="1"/>
      <c r="X23" s="1"/>
      <c r="Y23" s="1"/>
    </row>
    <row r="24" spans="1:25" ht="18.75" customHeight="1" x14ac:dyDescent="0.3">
      <c r="A24" s="2">
        <f>1</f>
        <v>1</v>
      </c>
      <c r="B24" s="3" t="s">
        <v>367</v>
      </c>
      <c r="C24" s="3" t="s">
        <v>40</v>
      </c>
      <c r="D24" s="3">
        <v>102</v>
      </c>
      <c r="E24" s="3">
        <v>38</v>
      </c>
      <c r="F24" s="3" t="s">
        <v>18</v>
      </c>
      <c r="G24" s="5">
        <f t="shared" ref="G24:G40" si="3">D24/E24</f>
        <v>2.6842105263157894</v>
      </c>
      <c r="H24" s="1"/>
      <c r="I24" s="1"/>
      <c r="J24" s="2">
        <f>1</f>
        <v>1</v>
      </c>
      <c r="K24" s="3" t="s">
        <v>48</v>
      </c>
      <c r="L24" s="3" t="s">
        <v>49</v>
      </c>
      <c r="M24" s="3">
        <v>15</v>
      </c>
      <c r="N24" s="3">
        <v>38</v>
      </c>
      <c r="O24" s="3" t="s">
        <v>18</v>
      </c>
      <c r="P24" s="5">
        <f t="shared" ref="P24:P40" si="4">M24/N24</f>
        <v>0.39473684210526316</v>
      </c>
      <c r="Q24" s="1"/>
      <c r="R24" s="1"/>
      <c r="S24" s="1"/>
      <c r="T24" s="1"/>
      <c r="U24" s="1"/>
      <c r="V24" s="1"/>
      <c r="W24" s="1"/>
      <c r="X24" s="1"/>
      <c r="Y24" s="1"/>
    </row>
    <row r="25" spans="1:25" ht="18.75" customHeight="1" x14ac:dyDescent="0.3">
      <c r="A25" s="2">
        <f>A24</f>
        <v>1</v>
      </c>
      <c r="B25" s="3" t="s">
        <v>16</v>
      </c>
      <c r="C25" s="3" t="s">
        <v>27</v>
      </c>
      <c r="D25" s="3">
        <v>91</v>
      </c>
      <c r="E25" s="3">
        <v>34</v>
      </c>
      <c r="F25" s="3" t="s">
        <v>18</v>
      </c>
      <c r="G25" s="5">
        <f t="shared" si="3"/>
        <v>2.6764705882352939</v>
      </c>
      <c r="H25" s="1"/>
      <c r="I25" s="1"/>
      <c r="J25" s="2">
        <f>J24+1</f>
        <v>2</v>
      </c>
      <c r="K25" s="3" t="s">
        <v>34</v>
      </c>
      <c r="L25" s="3" t="s">
        <v>50</v>
      </c>
      <c r="M25" s="3">
        <v>17</v>
      </c>
      <c r="N25" s="3">
        <v>38</v>
      </c>
      <c r="O25" s="3" t="s">
        <v>15</v>
      </c>
      <c r="P25" s="5">
        <f t="shared" si="4"/>
        <v>0.44736842105263158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18.75" customHeight="1" x14ac:dyDescent="0.3">
      <c r="A26" s="2">
        <f>A25+2</f>
        <v>3</v>
      </c>
      <c r="B26" s="3" t="s">
        <v>51</v>
      </c>
      <c r="C26" s="3" t="s">
        <v>35</v>
      </c>
      <c r="D26" s="3">
        <v>90</v>
      </c>
      <c r="E26" s="3">
        <v>34</v>
      </c>
      <c r="F26" s="3" t="s">
        <v>18</v>
      </c>
      <c r="G26" s="5">
        <f t="shared" si="3"/>
        <v>2.6470588235294117</v>
      </c>
      <c r="H26" s="1"/>
      <c r="I26" s="1"/>
      <c r="J26" s="2">
        <f>J25+1</f>
        <v>3</v>
      </c>
      <c r="K26" s="3" t="s">
        <v>52</v>
      </c>
      <c r="L26" s="3" t="s">
        <v>30</v>
      </c>
      <c r="M26" s="3">
        <v>18</v>
      </c>
      <c r="N26" s="3">
        <v>38</v>
      </c>
      <c r="O26" s="3" t="s">
        <v>44</v>
      </c>
      <c r="P26" s="5">
        <f t="shared" si="4"/>
        <v>0.47368421052631576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18.75" customHeight="1" x14ac:dyDescent="0.3">
      <c r="A27" s="2">
        <f>A26</f>
        <v>3</v>
      </c>
      <c r="B27" s="3" t="s">
        <v>16</v>
      </c>
      <c r="C27" s="3" t="s">
        <v>40</v>
      </c>
      <c r="D27" s="3">
        <v>90</v>
      </c>
      <c r="E27" s="3">
        <v>34</v>
      </c>
      <c r="F27" s="3" t="s">
        <v>18</v>
      </c>
      <c r="G27" s="5">
        <f t="shared" si="3"/>
        <v>2.6470588235294117</v>
      </c>
      <c r="H27" s="1"/>
      <c r="I27" s="1"/>
      <c r="J27" s="2">
        <f>J26+1</f>
        <v>4</v>
      </c>
      <c r="K27" s="3" t="s">
        <v>41</v>
      </c>
      <c r="L27" s="3" t="s">
        <v>30</v>
      </c>
      <c r="M27" s="3">
        <v>19</v>
      </c>
      <c r="N27" s="3">
        <v>38</v>
      </c>
      <c r="O27" s="3" t="s">
        <v>18</v>
      </c>
      <c r="P27" s="5">
        <f t="shared" si="4"/>
        <v>0.5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18.75" customHeight="1" x14ac:dyDescent="0.3">
      <c r="A28" s="2">
        <f>A27+2</f>
        <v>5</v>
      </c>
      <c r="B28" s="3" t="s">
        <v>53</v>
      </c>
      <c r="C28" s="3" t="s">
        <v>29</v>
      </c>
      <c r="D28" s="3">
        <v>100</v>
      </c>
      <c r="E28" s="3">
        <v>38</v>
      </c>
      <c r="F28" s="3" t="s">
        <v>18</v>
      </c>
      <c r="G28" s="5">
        <f t="shared" si="3"/>
        <v>2.6315789473684212</v>
      </c>
      <c r="H28" s="1"/>
      <c r="I28" s="1"/>
      <c r="J28" s="2">
        <f>J27</f>
        <v>4</v>
      </c>
      <c r="K28" s="3" t="s">
        <v>16</v>
      </c>
      <c r="L28" s="3" t="s">
        <v>30</v>
      </c>
      <c r="M28" s="3">
        <v>17</v>
      </c>
      <c r="N28" s="3">
        <v>34</v>
      </c>
      <c r="O28" s="3" t="s">
        <v>18</v>
      </c>
      <c r="P28" s="5">
        <f t="shared" si="4"/>
        <v>0.5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18.75" customHeight="1" x14ac:dyDescent="0.3">
      <c r="A29" s="2">
        <f>A28</f>
        <v>5</v>
      </c>
      <c r="B29" s="3" t="s">
        <v>24</v>
      </c>
      <c r="C29" s="3" t="s">
        <v>27</v>
      </c>
      <c r="D29" s="3">
        <v>100</v>
      </c>
      <c r="E29" s="3">
        <v>38</v>
      </c>
      <c r="F29" s="3" t="s">
        <v>18</v>
      </c>
      <c r="G29" s="5">
        <f t="shared" si="3"/>
        <v>2.6315789473684212</v>
      </c>
      <c r="H29" s="1"/>
      <c r="I29" s="1"/>
      <c r="J29" s="2">
        <f>J28+2</f>
        <v>6</v>
      </c>
      <c r="K29" s="7" t="s">
        <v>367</v>
      </c>
      <c r="L29" s="7" t="s">
        <v>30</v>
      </c>
      <c r="M29" s="7">
        <v>20</v>
      </c>
      <c r="N29" s="7">
        <v>38</v>
      </c>
      <c r="O29" s="7" t="s">
        <v>18</v>
      </c>
      <c r="P29" s="8">
        <f t="shared" si="4"/>
        <v>0.52631578947368418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18.75" customHeight="1" x14ac:dyDescent="0.3">
      <c r="A30" s="2">
        <f>A29</f>
        <v>5</v>
      </c>
      <c r="B30" s="3" t="s">
        <v>19</v>
      </c>
      <c r="C30" s="3" t="s">
        <v>21</v>
      </c>
      <c r="D30" s="3">
        <v>100</v>
      </c>
      <c r="E30" s="3">
        <v>38</v>
      </c>
      <c r="F30" s="3" t="s">
        <v>18</v>
      </c>
      <c r="G30" s="5">
        <f t="shared" si="3"/>
        <v>2.6315789473684212</v>
      </c>
      <c r="H30" s="1"/>
      <c r="I30" s="1"/>
      <c r="J30" s="2">
        <f>J29</f>
        <v>6</v>
      </c>
      <c r="K30" s="7" t="s">
        <v>367</v>
      </c>
      <c r="L30" s="7" t="s">
        <v>21</v>
      </c>
      <c r="M30" s="7">
        <v>20</v>
      </c>
      <c r="N30" s="7">
        <v>38</v>
      </c>
      <c r="O30" s="7" t="s">
        <v>18</v>
      </c>
      <c r="P30" s="8">
        <f t="shared" si="4"/>
        <v>0.52631578947368418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18.75" customHeight="1" x14ac:dyDescent="0.3">
      <c r="A31" s="2">
        <f>A30+3</f>
        <v>8</v>
      </c>
      <c r="B31" s="3" t="s">
        <v>16</v>
      </c>
      <c r="C31" s="3" t="s">
        <v>17</v>
      </c>
      <c r="D31" s="3">
        <v>89</v>
      </c>
      <c r="E31" s="3">
        <v>34</v>
      </c>
      <c r="F31" s="3" t="s">
        <v>18</v>
      </c>
      <c r="G31" s="5">
        <f t="shared" si="3"/>
        <v>2.6176470588235294</v>
      </c>
      <c r="H31" s="1"/>
      <c r="I31" s="1"/>
      <c r="J31" s="2">
        <f>J30</f>
        <v>6</v>
      </c>
      <c r="K31" s="3" t="s">
        <v>24</v>
      </c>
      <c r="L31" s="3" t="s">
        <v>54</v>
      </c>
      <c r="M31" s="3">
        <v>20</v>
      </c>
      <c r="N31" s="3">
        <v>38</v>
      </c>
      <c r="O31" s="3" t="s">
        <v>18</v>
      </c>
      <c r="P31" s="5">
        <f t="shared" si="4"/>
        <v>0.52631578947368418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18.75" customHeight="1" x14ac:dyDescent="0.3">
      <c r="A32" s="2">
        <f>A31+1</f>
        <v>9</v>
      </c>
      <c r="B32" s="3" t="s">
        <v>13</v>
      </c>
      <c r="C32" s="3" t="s">
        <v>31</v>
      </c>
      <c r="D32" s="3">
        <v>99</v>
      </c>
      <c r="E32" s="3">
        <v>38</v>
      </c>
      <c r="F32" s="3" t="s">
        <v>18</v>
      </c>
      <c r="G32" s="5">
        <f t="shared" si="3"/>
        <v>2.6052631578947367</v>
      </c>
      <c r="H32" s="1"/>
      <c r="I32" s="1"/>
      <c r="J32" s="2">
        <f>J31</f>
        <v>6</v>
      </c>
      <c r="K32" s="3" t="s">
        <v>16</v>
      </c>
      <c r="L32" s="3" t="s">
        <v>23</v>
      </c>
      <c r="M32" s="3">
        <v>18</v>
      </c>
      <c r="N32" s="3">
        <v>34</v>
      </c>
      <c r="O32" s="3" t="s">
        <v>18</v>
      </c>
      <c r="P32" s="5">
        <f t="shared" si="4"/>
        <v>0.52941176470588236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18.75" customHeight="1" x14ac:dyDescent="0.3">
      <c r="A33" s="2">
        <f>A32</f>
        <v>9</v>
      </c>
      <c r="B33" s="3" t="s">
        <v>24</v>
      </c>
      <c r="C33" s="3" t="s">
        <v>20</v>
      </c>
      <c r="D33" s="3">
        <v>99</v>
      </c>
      <c r="E33" s="3">
        <v>38</v>
      </c>
      <c r="F33" s="3" t="s">
        <v>18</v>
      </c>
      <c r="G33" s="5">
        <f t="shared" si="3"/>
        <v>2.6052631578947367</v>
      </c>
      <c r="H33" s="1"/>
      <c r="I33" s="1"/>
      <c r="J33" s="2">
        <f>J32</f>
        <v>6</v>
      </c>
      <c r="K33" s="3" t="s">
        <v>16</v>
      </c>
      <c r="L33" s="3" t="s">
        <v>27</v>
      </c>
      <c r="M33" s="3">
        <v>18</v>
      </c>
      <c r="N33" s="3">
        <v>34</v>
      </c>
      <c r="O33" s="3" t="s">
        <v>18</v>
      </c>
      <c r="P33" s="5">
        <f t="shared" si="4"/>
        <v>0.52941176470588236</v>
      </c>
      <c r="Q33" s="1"/>
      <c r="R33" s="1"/>
      <c r="S33" s="1"/>
      <c r="T33" s="1"/>
      <c r="U33" s="1"/>
      <c r="V33" s="1"/>
      <c r="W33" s="1"/>
      <c r="X33" s="1"/>
      <c r="Y33" s="1"/>
    </row>
    <row r="34" spans="1:25" ht="18.75" customHeight="1" x14ac:dyDescent="0.3">
      <c r="A34" s="2">
        <f>A33+2</f>
        <v>11</v>
      </c>
      <c r="B34" s="3" t="s">
        <v>16</v>
      </c>
      <c r="C34" s="3" t="s">
        <v>30</v>
      </c>
      <c r="D34" s="3">
        <v>88</v>
      </c>
      <c r="E34" s="3">
        <v>34</v>
      </c>
      <c r="F34" s="3" t="s">
        <v>18</v>
      </c>
      <c r="G34" s="5">
        <f t="shared" si="3"/>
        <v>2.5882352941176472</v>
      </c>
      <c r="H34" s="1"/>
      <c r="I34" s="1"/>
      <c r="J34" s="2">
        <f>J33+5</f>
        <v>11</v>
      </c>
      <c r="K34" s="3" t="s">
        <v>24</v>
      </c>
      <c r="L34" s="3" t="s">
        <v>22</v>
      </c>
      <c r="M34" s="3">
        <v>21</v>
      </c>
      <c r="N34" s="3">
        <v>38</v>
      </c>
      <c r="O34" s="3" t="s">
        <v>18</v>
      </c>
      <c r="P34" s="5">
        <f t="shared" si="4"/>
        <v>0.55263157894736847</v>
      </c>
      <c r="Q34" s="1"/>
      <c r="R34" s="1"/>
      <c r="S34" s="1"/>
      <c r="T34" s="1"/>
      <c r="U34" s="1"/>
      <c r="V34" s="1"/>
      <c r="W34" s="1"/>
      <c r="X34" s="1"/>
      <c r="Y34" s="1"/>
    </row>
    <row r="35" spans="1:25" ht="18.75" customHeight="1" x14ac:dyDescent="0.3">
      <c r="A35" s="2">
        <f>A34+1</f>
        <v>12</v>
      </c>
      <c r="B35" s="3" t="s">
        <v>53</v>
      </c>
      <c r="C35" s="3" t="s">
        <v>14</v>
      </c>
      <c r="D35" s="3">
        <v>98</v>
      </c>
      <c r="E35" s="3">
        <v>38</v>
      </c>
      <c r="F35" s="3" t="s">
        <v>18</v>
      </c>
      <c r="G35" s="5">
        <f t="shared" si="3"/>
        <v>2.5789473684210527</v>
      </c>
      <c r="H35" s="1"/>
      <c r="I35" s="1"/>
      <c r="J35" s="2">
        <f>J34</f>
        <v>11</v>
      </c>
      <c r="K35" s="3" t="s">
        <v>24</v>
      </c>
      <c r="L35" s="3" t="s">
        <v>23</v>
      </c>
      <c r="M35" s="3">
        <v>21</v>
      </c>
      <c r="N35" s="3">
        <v>38</v>
      </c>
      <c r="O35" s="3" t="s">
        <v>18</v>
      </c>
      <c r="P35" s="5">
        <f t="shared" si="4"/>
        <v>0.55263157894736847</v>
      </c>
      <c r="Q35" s="1"/>
      <c r="R35" s="1"/>
      <c r="S35" s="1"/>
      <c r="T35" s="1"/>
      <c r="U35" s="1"/>
      <c r="V35" s="1"/>
      <c r="W35" s="1"/>
      <c r="X35" s="1"/>
      <c r="Y35" s="1"/>
    </row>
    <row r="36" spans="1:25" ht="18.75" customHeight="1" x14ac:dyDescent="0.3">
      <c r="A36" s="2">
        <f>A37</f>
        <v>13</v>
      </c>
      <c r="B36" s="3" t="s">
        <v>55</v>
      </c>
      <c r="C36" s="3" t="s">
        <v>56</v>
      </c>
      <c r="D36" s="3">
        <v>97</v>
      </c>
      <c r="E36" s="3">
        <v>38</v>
      </c>
      <c r="F36" s="3" t="s">
        <v>18</v>
      </c>
      <c r="G36" s="5">
        <f t="shared" si="3"/>
        <v>2.5526315789473686</v>
      </c>
      <c r="H36" s="1"/>
      <c r="I36" s="1"/>
      <c r="J36" s="2">
        <f>J35+2</f>
        <v>13</v>
      </c>
      <c r="K36" s="7" t="s">
        <v>42</v>
      </c>
      <c r="L36" s="7" t="s">
        <v>57</v>
      </c>
      <c r="M36" s="7">
        <v>19</v>
      </c>
      <c r="N36" s="7">
        <v>34</v>
      </c>
      <c r="O36" s="7" t="s">
        <v>15</v>
      </c>
      <c r="P36" s="8">
        <f t="shared" si="4"/>
        <v>0.55882352941176472</v>
      </c>
      <c r="Q36" s="1"/>
      <c r="R36" s="1"/>
      <c r="S36" s="1"/>
      <c r="T36" s="1"/>
      <c r="U36" s="1"/>
      <c r="V36" s="1"/>
      <c r="W36" s="1"/>
      <c r="X36" s="1"/>
      <c r="Y36" s="1"/>
    </row>
    <row r="37" spans="1:25" ht="18.75" customHeight="1" x14ac:dyDescent="0.3">
      <c r="A37" s="2">
        <f>A35+1</f>
        <v>13</v>
      </c>
      <c r="B37" s="3" t="s">
        <v>13</v>
      </c>
      <c r="C37" s="3" t="s">
        <v>14</v>
      </c>
      <c r="D37" s="3">
        <v>97</v>
      </c>
      <c r="E37" s="3">
        <v>38</v>
      </c>
      <c r="F37" s="3" t="s">
        <v>15</v>
      </c>
      <c r="G37" s="5">
        <f t="shared" si="3"/>
        <v>2.5526315789473686</v>
      </c>
      <c r="H37" s="1"/>
      <c r="I37" s="1"/>
      <c r="J37" s="2">
        <f>J36+1</f>
        <v>14</v>
      </c>
      <c r="K37" s="3" t="s">
        <v>58</v>
      </c>
      <c r="L37" s="3" t="s">
        <v>49</v>
      </c>
      <c r="M37" s="3">
        <v>22</v>
      </c>
      <c r="N37" s="3">
        <v>38</v>
      </c>
      <c r="O37" s="3" t="s">
        <v>18</v>
      </c>
      <c r="P37" s="5">
        <f t="shared" si="4"/>
        <v>0.57894736842105265</v>
      </c>
      <c r="Q37" s="1"/>
      <c r="R37" s="1"/>
      <c r="S37" s="1"/>
      <c r="T37" s="1"/>
      <c r="U37" s="1"/>
      <c r="V37" s="1"/>
      <c r="W37" s="1"/>
      <c r="X37" s="1"/>
      <c r="Y37" s="1"/>
    </row>
    <row r="38" spans="1:25" ht="18.75" customHeight="1" x14ac:dyDescent="0.3">
      <c r="A38" s="2">
        <f>A36+2</f>
        <v>15</v>
      </c>
      <c r="B38" s="3" t="s">
        <v>41</v>
      </c>
      <c r="C38" s="3" t="s">
        <v>30</v>
      </c>
      <c r="D38" s="3">
        <v>96</v>
      </c>
      <c r="E38" s="3">
        <v>38</v>
      </c>
      <c r="F38" s="3" t="s">
        <v>18</v>
      </c>
      <c r="G38" s="5">
        <f t="shared" si="3"/>
        <v>2.5263157894736841</v>
      </c>
      <c r="H38" s="1"/>
      <c r="I38" s="1"/>
      <c r="J38" s="2">
        <f>J37</f>
        <v>14</v>
      </c>
      <c r="K38" s="3" t="s">
        <v>33</v>
      </c>
      <c r="L38" s="3" t="s">
        <v>59</v>
      </c>
      <c r="M38" s="3">
        <v>22</v>
      </c>
      <c r="N38" s="3">
        <v>38</v>
      </c>
      <c r="O38" s="3" t="s">
        <v>18</v>
      </c>
      <c r="P38" s="5">
        <f t="shared" si="4"/>
        <v>0.57894736842105265</v>
      </c>
      <c r="Q38" s="1"/>
      <c r="R38" s="1"/>
      <c r="S38" s="1"/>
      <c r="T38" s="1"/>
      <c r="U38" s="1"/>
      <c r="V38" s="1"/>
      <c r="W38" s="1"/>
      <c r="X38" s="1"/>
      <c r="Y38" s="1"/>
    </row>
    <row r="39" spans="1:25" ht="18.75" customHeight="1" x14ac:dyDescent="0.3">
      <c r="A39" s="2">
        <f>A38</f>
        <v>15</v>
      </c>
      <c r="B39" s="3" t="s">
        <v>24</v>
      </c>
      <c r="C39" s="3" t="s">
        <v>22</v>
      </c>
      <c r="D39" s="3">
        <v>96</v>
      </c>
      <c r="E39" s="3">
        <v>38</v>
      </c>
      <c r="F39" s="3" t="s">
        <v>18</v>
      </c>
      <c r="G39" s="5">
        <f t="shared" si="3"/>
        <v>2.5263157894736841</v>
      </c>
      <c r="H39" s="1"/>
      <c r="I39" s="1"/>
      <c r="J39" s="2">
        <f>J38</f>
        <v>14</v>
      </c>
      <c r="K39" s="3" t="s">
        <v>48</v>
      </c>
      <c r="L39" s="3" t="s">
        <v>37</v>
      </c>
      <c r="M39" s="3">
        <v>22</v>
      </c>
      <c r="N39" s="3">
        <v>38</v>
      </c>
      <c r="O39" s="3" t="s">
        <v>18</v>
      </c>
      <c r="P39" s="5">
        <f t="shared" si="4"/>
        <v>0.57894736842105265</v>
      </c>
      <c r="Q39" s="1"/>
      <c r="R39" s="1"/>
      <c r="S39" s="1"/>
      <c r="T39" s="1"/>
      <c r="U39" s="1"/>
      <c r="V39" s="1"/>
      <c r="W39" s="1"/>
      <c r="X39" s="1"/>
      <c r="Y39" s="1"/>
    </row>
    <row r="40" spans="1:25" ht="18.75" customHeight="1" x14ac:dyDescent="0.3">
      <c r="A40" s="2">
        <f>A39</f>
        <v>15</v>
      </c>
      <c r="B40" s="3" t="s">
        <v>19</v>
      </c>
      <c r="C40" s="3" t="s">
        <v>20</v>
      </c>
      <c r="D40" s="3">
        <v>96</v>
      </c>
      <c r="E40" s="3">
        <v>38</v>
      </c>
      <c r="F40" s="3" t="s">
        <v>15</v>
      </c>
      <c r="G40" s="5">
        <f t="shared" si="3"/>
        <v>2.5263157894736841</v>
      </c>
      <c r="H40" s="1"/>
      <c r="I40" s="1"/>
      <c r="J40" s="2">
        <f>J39</f>
        <v>14</v>
      </c>
      <c r="K40" s="3" t="s">
        <v>55</v>
      </c>
      <c r="L40" s="3" t="s">
        <v>35</v>
      </c>
      <c r="M40" s="3">
        <v>22</v>
      </c>
      <c r="N40" s="3">
        <v>38</v>
      </c>
      <c r="O40" s="3" t="s">
        <v>18</v>
      </c>
      <c r="P40" s="5">
        <f t="shared" si="4"/>
        <v>0.57894736842105265</v>
      </c>
      <c r="Q40" s="1"/>
      <c r="R40" s="1"/>
      <c r="S40" s="1"/>
      <c r="T40" s="1"/>
      <c r="U40" s="1"/>
      <c r="V40" s="1"/>
      <c r="W40" s="1"/>
      <c r="X40" s="1"/>
      <c r="Y40" s="1"/>
    </row>
    <row r="41" spans="1:25" ht="18.75" customHeight="1" x14ac:dyDescent="0.3"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.75" customHeight="1" x14ac:dyDescent="0.3">
      <c r="H42" s="1"/>
      <c r="I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.75" customHeight="1" x14ac:dyDescent="0.3">
      <c r="H43" s="1"/>
      <c r="I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.75" customHeight="1" x14ac:dyDescent="0.3">
      <c r="H44" s="1"/>
      <c r="I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.75" customHeight="1" x14ac:dyDescent="0.3">
      <c r="H45" s="1"/>
      <c r="I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.75" customHeight="1" x14ac:dyDescent="0.3">
      <c r="H46" s="1"/>
      <c r="I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.75" customHeight="1" x14ac:dyDescent="0.3">
      <c r="H47" s="1"/>
      <c r="I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.75" customHeight="1" x14ac:dyDescent="0.3">
      <c r="H48" s="1"/>
      <c r="I48" s="1"/>
      <c r="Q48" s="1"/>
      <c r="R48" s="1"/>
      <c r="S48" s="1"/>
      <c r="T48" s="1"/>
      <c r="U48" s="1"/>
      <c r="V48" s="1"/>
      <c r="W48" s="1"/>
      <c r="X48" s="1"/>
      <c r="Y48" s="1"/>
    </row>
  </sheetData>
  <mergeCells count="4">
    <mergeCell ref="J1:P1"/>
    <mergeCell ref="A1:G1"/>
    <mergeCell ref="A22:G22"/>
    <mergeCell ref="J22:P22"/>
  </mergeCells>
  <conditionalFormatting sqref="G3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:G16 G18:G19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:G19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:G11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:G14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5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6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9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4:G29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4:G40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0:G33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4:G35 G37"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8:G39 G3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0"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5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1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P8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P14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5:P17"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4:P25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4:P4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P28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9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30:P32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33:P36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3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38:P40">
    <cfRule type="colorScale" priority="3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85"/>
  <sheetViews>
    <sheetView topLeftCell="A13" zoomScaleNormal="100" workbookViewId="0">
      <selection activeCell="B6" sqref="B6"/>
    </sheetView>
  </sheetViews>
  <sheetFormatPr baseColWidth="10" defaultRowHeight="15" x14ac:dyDescent="0.25"/>
  <cols>
    <col min="2" max="2" width="24" bestFit="1" customWidth="1"/>
    <col min="3" max="3" width="15.85546875" customWidth="1"/>
    <col min="4" max="4" width="14" bestFit="1" customWidth="1"/>
    <col min="5" max="5" width="30.7109375" bestFit="1" customWidth="1"/>
    <col min="6" max="6" width="22.42578125" bestFit="1" customWidth="1"/>
    <col min="7" max="7" width="13.85546875" bestFit="1" customWidth="1"/>
    <col min="8" max="8" width="40.85546875" bestFit="1" customWidth="1"/>
    <col min="11" max="11" width="13.85546875" customWidth="1"/>
    <col min="12" max="12" width="25.85546875" customWidth="1"/>
    <col min="13" max="13" width="15.140625" customWidth="1"/>
    <col min="14" max="14" width="19" bestFit="1" customWidth="1"/>
    <col min="15" max="15" width="23.42578125" bestFit="1" customWidth="1"/>
    <col min="16" max="16" width="13.85546875" bestFit="1" customWidth="1"/>
    <col min="17" max="17" width="33.5703125" bestFit="1" customWidth="1"/>
  </cols>
  <sheetData>
    <row r="1" spans="1:34" ht="18.75" customHeight="1" x14ac:dyDescent="0.3">
      <c r="A1" s="21" t="s">
        <v>60</v>
      </c>
      <c r="B1" s="23"/>
      <c r="C1" s="23"/>
      <c r="D1" s="23"/>
      <c r="E1" s="23"/>
      <c r="F1" s="23"/>
      <c r="G1" s="23"/>
      <c r="H1" s="23"/>
      <c r="I1" s="6"/>
      <c r="J1" s="6"/>
      <c r="K1" s="21" t="s">
        <v>61</v>
      </c>
      <c r="L1" s="20"/>
      <c r="M1" s="20"/>
      <c r="N1" s="20"/>
      <c r="O1" s="20"/>
      <c r="P1" s="20"/>
      <c r="Q1" s="20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366</v>
      </c>
      <c r="I2" s="6"/>
      <c r="J2" s="6"/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4" ht="18.75" customHeight="1" x14ac:dyDescent="0.3">
      <c r="A3" s="2">
        <v>1</v>
      </c>
      <c r="B3" s="3" t="s">
        <v>13</v>
      </c>
      <c r="C3" s="3" t="s">
        <v>14</v>
      </c>
      <c r="D3" s="3">
        <v>97</v>
      </c>
      <c r="E3" s="3">
        <v>114</v>
      </c>
      <c r="F3" s="3">
        <v>38</v>
      </c>
      <c r="G3" s="3" t="s">
        <v>15</v>
      </c>
      <c r="H3" s="5">
        <f>D3/F3</f>
        <v>2.5526315789473686</v>
      </c>
      <c r="I3" s="6"/>
      <c r="J3" s="6"/>
      <c r="K3" s="2">
        <v>1</v>
      </c>
      <c r="L3" s="3" t="s">
        <v>16</v>
      </c>
      <c r="M3" s="3" t="s">
        <v>17</v>
      </c>
      <c r="N3" s="3">
        <v>122</v>
      </c>
      <c r="O3" s="3">
        <v>34</v>
      </c>
      <c r="P3" s="3" t="s">
        <v>18</v>
      </c>
      <c r="Q3" s="5">
        <f t="shared" ref="Q3:Q17" si="0">N3/O3</f>
        <v>3.5882352941176472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ht="18.75" customHeight="1" x14ac:dyDescent="0.3">
      <c r="A4" s="2">
        <f>A3+1</f>
        <v>2</v>
      </c>
      <c r="B4" s="3" t="s">
        <v>19</v>
      </c>
      <c r="C4" s="3" t="s">
        <v>20</v>
      </c>
      <c r="D4" s="3">
        <v>96</v>
      </c>
      <c r="E4" s="3">
        <v>114</v>
      </c>
      <c r="F4" s="3">
        <v>38</v>
      </c>
      <c r="G4" s="3" t="s">
        <v>15</v>
      </c>
      <c r="H4" s="5">
        <f>D4/F4</f>
        <v>2.5263157894736841</v>
      </c>
      <c r="I4" s="6"/>
      <c r="J4" s="6"/>
      <c r="K4" s="2">
        <f>K3+1</f>
        <v>2</v>
      </c>
      <c r="L4" s="3" t="s">
        <v>24</v>
      </c>
      <c r="M4" s="3" t="s">
        <v>63</v>
      </c>
      <c r="N4" s="3">
        <v>96</v>
      </c>
      <c r="O4" s="3">
        <v>30</v>
      </c>
      <c r="P4" s="3" t="s">
        <v>18</v>
      </c>
      <c r="Q4" s="5">
        <f t="shared" si="0"/>
        <v>3.2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4" ht="18.75" customHeight="1" x14ac:dyDescent="0.3">
      <c r="A5" s="2">
        <f>A4+1</f>
        <v>3</v>
      </c>
      <c r="B5" s="3" t="s">
        <v>64</v>
      </c>
      <c r="C5" s="3" t="s">
        <v>65</v>
      </c>
      <c r="D5" s="3">
        <v>50</v>
      </c>
      <c r="E5" s="3" t="s">
        <v>66</v>
      </c>
      <c r="F5" s="3">
        <v>30</v>
      </c>
      <c r="G5" s="3" t="s">
        <v>15</v>
      </c>
      <c r="H5" s="5">
        <f>(D5/60)*3</f>
        <v>2.5</v>
      </c>
      <c r="I5" s="6"/>
      <c r="J5" s="6"/>
      <c r="K5" s="2">
        <f>K4+1</f>
        <v>3</v>
      </c>
      <c r="L5" s="3" t="s">
        <v>19</v>
      </c>
      <c r="M5" s="3" t="s">
        <v>21</v>
      </c>
      <c r="N5" s="3">
        <v>121</v>
      </c>
      <c r="O5" s="3">
        <v>38</v>
      </c>
      <c r="P5" s="3" t="s">
        <v>18</v>
      </c>
      <c r="Q5" s="5">
        <f t="shared" si="0"/>
        <v>3.1842105263157894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 ht="18.75" customHeight="1" x14ac:dyDescent="0.3">
      <c r="A6" s="2">
        <f>A5+1</f>
        <v>4</v>
      </c>
      <c r="B6" s="3" t="s">
        <v>13</v>
      </c>
      <c r="C6" s="3" t="s">
        <v>26</v>
      </c>
      <c r="D6" s="3">
        <v>92</v>
      </c>
      <c r="E6" s="3">
        <v>114</v>
      </c>
      <c r="F6" s="3">
        <v>38</v>
      </c>
      <c r="G6" s="3" t="s">
        <v>15</v>
      </c>
      <c r="H6" s="5">
        <f>D6/F6</f>
        <v>2.4210526315789473</v>
      </c>
      <c r="I6" s="6"/>
      <c r="J6" s="6"/>
      <c r="K6" s="2">
        <f>K5+1</f>
        <v>4</v>
      </c>
      <c r="L6" s="3" t="s">
        <v>19</v>
      </c>
      <c r="M6" s="3" t="s">
        <v>23</v>
      </c>
      <c r="N6" s="3">
        <v>118</v>
      </c>
      <c r="O6" s="3">
        <v>38</v>
      </c>
      <c r="P6" s="3" t="s">
        <v>15</v>
      </c>
      <c r="Q6" s="5">
        <f t="shared" si="0"/>
        <v>3.1052631578947367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ht="18.75" customHeight="1" x14ac:dyDescent="0.3">
      <c r="A7" s="2">
        <f>A6</f>
        <v>4</v>
      </c>
      <c r="B7" s="3" t="s">
        <v>19</v>
      </c>
      <c r="C7" s="3" t="s">
        <v>22</v>
      </c>
      <c r="D7" s="3">
        <v>92</v>
      </c>
      <c r="E7" s="3">
        <v>114</v>
      </c>
      <c r="F7" s="3">
        <v>38</v>
      </c>
      <c r="G7" s="3" t="s">
        <v>15</v>
      </c>
      <c r="H7" s="5">
        <f>D7/F7</f>
        <v>2.4210526315789473</v>
      </c>
      <c r="I7" s="6"/>
      <c r="J7" s="6"/>
      <c r="K7" s="2">
        <f>K6</f>
        <v>4</v>
      </c>
      <c r="L7" s="3" t="s">
        <v>67</v>
      </c>
      <c r="M7" s="3" t="s">
        <v>68</v>
      </c>
      <c r="N7" s="3">
        <v>118</v>
      </c>
      <c r="O7" s="3">
        <v>38</v>
      </c>
      <c r="P7" s="3" t="s">
        <v>44</v>
      </c>
      <c r="Q7" s="5">
        <f t="shared" si="0"/>
        <v>3.1052631578947367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4" ht="18.75" customHeight="1" x14ac:dyDescent="0.3">
      <c r="A8" s="2">
        <f>A7</f>
        <v>4</v>
      </c>
      <c r="B8" s="3" t="s">
        <v>19</v>
      </c>
      <c r="C8" s="3" t="s">
        <v>23</v>
      </c>
      <c r="D8" s="3">
        <v>92</v>
      </c>
      <c r="E8" s="3">
        <v>114</v>
      </c>
      <c r="F8" s="3">
        <v>38</v>
      </c>
      <c r="G8" s="3" t="s">
        <v>15</v>
      </c>
      <c r="H8" s="5">
        <f>D8/F8</f>
        <v>2.4210526315789473</v>
      </c>
      <c r="I8" s="6"/>
      <c r="J8" s="6"/>
      <c r="K8" s="2">
        <f>K6+2</f>
        <v>6</v>
      </c>
      <c r="L8" s="3" t="s">
        <v>19</v>
      </c>
      <c r="M8" s="3" t="s">
        <v>68</v>
      </c>
      <c r="N8" s="3">
        <v>92</v>
      </c>
      <c r="O8" s="3">
        <v>30</v>
      </c>
      <c r="P8" s="3" t="s">
        <v>18</v>
      </c>
      <c r="Q8" s="5">
        <f t="shared" si="0"/>
        <v>3.0666666666666669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4" ht="18.75" customHeight="1" x14ac:dyDescent="0.3">
      <c r="A9" s="2">
        <f>A8+3</f>
        <v>7</v>
      </c>
      <c r="B9" s="3" t="s">
        <v>28</v>
      </c>
      <c r="C9" s="3" t="s">
        <v>29</v>
      </c>
      <c r="D9" s="3">
        <v>91</v>
      </c>
      <c r="E9" s="3">
        <v>114</v>
      </c>
      <c r="F9" s="3">
        <v>38</v>
      </c>
      <c r="G9" s="3" t="s">
        <v>15</v>
      </c>
      <c r="H9" s="5">
        <f>D9/F9</f>
        <v>2.3947368421052633</v>
      </c>
      <c r="I9" s="6"/>
      <c r="J9" s="6"/>
      <c r="K9" s="2">
        <f>K8+1</f>
        <v>7</v>
      </c>
      <c r="L9" s="3" t="s">
        <v>24</v>
      </c>
      <c r="M9" s="3" t="s">
        <v>25</v>
      </c>
      <c r="N9" s="3">
        <v>116</v>
      </c>
      <c r="O9" s="3">
        <v>38</v>
      </c>
      <c r="P9" s="3" t="s">
        <v>15</v>
      </c>
      <c r="Q9" s="5">
        <f t="shared" si="0"/>
        <v>3.0526315789473686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4" ht="18.75" customHeight="1" x14ac:dyDescent="0.3">
      <c r="A10" s="2">
        <f>A9</f>
        <v>7</v>
      </c>
      <c r="B10" s="3" t="s">
        <v>24</v>
      </c>
      <c r="C10" s="3" t="s">
        <v>21</v>
      </c>
      <c r="D10" s="3">
        <v>91</v>
      </c>
      <c r="E10" s="3">
        <v>114</v>
      </c>
      <c r="F10" s="3">
        <v>38</v>
      </c>
      <c r="G10" s="3" t="s">
        <v>15</v>
      </c>
      <c r="H10" s="5">
        <f>D10/F10</f>
        <v>2.3947368421052633</v>
      </c>
      <c r="I10" s="6"/>
      <c r="J10" s="6"/>
      <c r="K10" s="2">
        <f>K9+1</f>
        <v>8</v>
      </c>
      <c r="L10" s="3" t="s">
        <v>24</v>
      </c>
      <c r="M10" s="3" t="s">
        <v>27</v>
      </c>
      <c r="N10" s="3">
        <v>115</v>
      </c>
      <c r="O10" s="3">
        <v>38</v>
      </c>
      <c r="P10" s="3" t="s">
        <v>18</v>
      </c>
      <c r="Q10" s="5">
        <f t="shared" si="0"/>
        <v>3.0263157894736841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 ht="18.75" customHeight="1" x14ac:dyDescent="0.3">
      <c r="A11" s="2">
        <f>A10+2</f>
        <v>9</v>
      </c>
      <c r="B11" s="3" t="s">
        <v>55</v>
      </c>
      <c r="C11" s="3" t="s">
        <v>69</v>
      </c>
      <c r="D11" s="3">
        <v>54</v>
      </c>
      <c r="E11" s="3" t="s">
        <v>70</v>
      </c>
      <c r="F11" s="3">
        <v>34</v>
      </c>
      <c r="G11" s="3" t="s">
        <v>15</v>
      </c>
      <c r="H11" s="5">
        <f>(D11/68)*3</f>
        <v>2.3823529411764706</v>
      </c>
      <c r="I11" s="6"/>
      <c r="J11" s="6"/>
      <c r="K11" s="2">
        <f>K10+1</f>
        <v>9</v>
      </c>
      <c r="L11" s="3" t="s">
        <v>24</v>
      </c>
      <c r="M11" s="3" t="s">
        <v>21</v>
      </c>
      <c r="N11" s="3">
        <v>114</v>
      </c>
      <c r="O11" s="3">
        <v>38</v>
      </c>
      <c r="P11" s="3" t="s">
        <v>15</v>
      </c>
      <c r="Q11" s="5">
        <f t="shared" si="0"/>
        <v>3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 ht="18.75" customHeight="1" x14ac:dyDescent="0.3">
      <c r="A12" s="2">
        <f>A11+1</f>
        <v>10</v>
      </c>
      <c r="B12" s="3" t="s">
        <v>24</v>
      </c>
      <c r="C12" s="3" t="s">
        <v>25</v>
      </c>
      <c r="D12" s="3">
        <v>90</v>
      </c>
      <c r="E12" s="3">
        <v>114</v>
      </c>
      <c r="F12" s="3">
        <v>38</v>
      </c>
      <c r="G12" s="3" t="s">
        <v>15</v>
      </c>
      <c r="H12" s="5">
        <f>D12/F12</f>
        <v>2.3684210526315788</v>
      </c>
      <c r="I12" s="6"/>
      <c r="J12" s="6"/>
      <c r="K12" s="2">
        <f>K11+1</f>
        <v>10</v>
      </c>
      <c r="L12" s="3" t="s">
        <v>16</v>
      </c>
      <c r="M12" s="3" t="s">
        <v>71</v>
      </c>
      <c r="N12" s="3">
        <v>101</v>
      </c>
      <c r="O12" s="3">
        <v>34</v>
      </c>
      <c r="P12" s="3" t="s">
        <v>18</v>
      </c>
      <c r="Q12" s="5">
        <f t="shared" si="0"/>
        <v>2.9705882352941178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ht="18.75" customHeight="1" x14ac:dyDescent="0.3">
      <c r="A13" s="2">
        <f>A12</f>
        <v>10</v>
      </c>
      <c r="B13" s="3" t="s">
        <v>19</v>
      </c>
      <c r="C13" s="3" t="s">
        <v>30</v>
      </c>
      <c r="D13" s="3">
        <v>90</v>
      </c>
      <c r="E13" s="3">
        <v>114</v>
      </c>
      <c r="F13" s="3">
        <v>38</v>
      </c>
      <c r="G13" s="3" t="s">
        <v>15</v>
      </c>
      <c r="H13" s="5">
        <f>D13/F13</f>
        <v>2.3684210526315788</v>
      </c>
      <c r="I13" s="6"/>
      <c r="J13" s="6"/>
      <c r="K13" s="2">
        <f>K12</f>
        <v>10</v>
      </c>
      <c r="L13" s="3" t="s">
        <v>19</v>
      </c>
      <c r="M13" s="3" t="s">
        <v>72</v>
      </c>
      <c r="N13" s="3">
        <v>89</v>
      </c>
      <c r="O13" s="3">
        <v>30</v>
      </c>
      <c r="P13" s="3" t="s">
        <v>18</v>
      </c>
      <c r="Q13" s="5">
        <f t="shared" si="0"/>
        <v>2.9666666666666668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 ht="18.75" customHeight="1" x14ac:dyDescent="0.3">
      <c r="A14" s="2">
        <f>A13+2</f>
        <v>12</v>
      </c>
      <c r="B14" s="3" t="s">
        <v>24</v>
      </c>
      <c r="C14" s="3" t="s">
        <v>73</v>
      </c>
      <c r="D14" s="3">
        <v>47</v>
      </c>
      <c r="E14" s="3" t="s">
        <v>66</v>
      </c>
      <c r="F14" s="3">
        <v>30</v>
      </c>
      <c r="G14" s="3" t="s">
        <v>15</v>
      </c>
      <c r="H14" s="5">
        <f>(D14/60)*3</f>
        <v>2.35</v>
      </c>
      <c r="I14" s="6"/>
      <c r="J14" s="6"/>
      <c r="K14" s="2">
        <f>K13</f>
        <v>10</v>
      </c>
      <c r="L14" s="3" t="s">
        <v>19</v>
      </c>
      <c r="M14" s="3" t="s">
        <v>63</v>
      </c>
      <c r="N14" s="3">
        <v>89</v>
      </c>
      <c r="O14" s="3">
        <v>30</v>
      </c>
      <c r="P14" s="3" t="s">
        <v>15</v>
      </c>
      <c r="Q14" s="5">
        <f t="shared" si="0"/>
        <v>2.9666666666666668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4" ht="18.75" customHeight="1" x14ac:dyDescent="0.3">
      <c r="A15" s="2">
        <f>A14</f>
        <v>12</v>
      </c>
      <c r="B15" s="3" t="s">
        <v>19</v>
      </c>
      <c r="C15" s="3" t="s">
        <v>63</v>
      </c>
      <c r="D15" s="3">
        <v>47</v>
      </c>
      <c r="E15" s="3" t="s">
        <v>66</v>
      </c>
      <c r="F15" s="3">
        <v>30</v>
      </c>
      <c r="G15" s="3" t="s">
        <v>15</v>
      </c>
      <c r="H15" s="5">
        <f>(D15/60)*3</f>
        <v>2.35</v>
      </c>
      <c r="I15" s="6"/>
      <c r="J15" s="6"/>
      <c r="K15" s="2">
        <f>K14+3</f>
        <v>13</v>
      </c>
      <c r="L15" s="3" t="s">
        <v>24</v>
      </c>
      <c r="M15" s="3" t="s">
        <v>30</v>
      </c>
      <c r="N15" s="3">
        <v>112</v>
      </c>
      <c r="O15" s="3">
        <v>38</v>
      </c>
      <c r="P15" s="3" t="s">
        <v>18</v>
      </c>
      <c r="Q15" s="5">
        <f t="shared" si="0"/>
        <v>2.9473684210526314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4" ht="18.75" customHeight="1" x14ac:dyDescent="0.3">
      <c r="A16" s="2">
        <f>A15+2</f>
        <v>14</v>
      </c>
      <c r="B16" s="3" t="s">
        <v>33</v>
      </c>
      <c r="C16" s="3" t="s">
        <v>21</v>
      </c>
      <c r="D16" s="3">
        <v>89</v>
      </c>
      <c r="E16" s="3">
        <v>114</v>
      </c>
      <c r="F16" s="3">
        <v>38</v>
      </c>
      <c r="G16" s="3" t="s">
        <v>15</v>
      </c>
      <c r="H16" s="5">
        <f>D16/F16</f>
        <v>2.3421052631578947</v>
      </c>
      <c r="I16" s="6"/>
      <c r="J16" s="6"/>
      <c r="K16" s="2">
        <f>K15+1</f>
        <v>14</v>
      </c>
      <c r="L16" s="3" t="s">
        <v>16</v>
      </c>
      <c r="M16" s="3" t="s">
        <v>31</v>
      </c>
      <c r="N16" s="3">
        <v>100</v>
      </c>
      <c r="O16" s="3">
        <v>34</v>
      </c>
      <c r="P16" s="3" t="s">
        <v>18</v>
      </c>
      <c r="Q16" s="5">
        <f t="shared" si="0"/>
        <v>2.9411764705882355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ht="18.75" customHeight="1" x14ac:dyDescent="0.3">
      <c r="A17" s="2">
        <f>A16</f>
        <v>14</v>
      </c>
      <c r="B17" s="3" t="s">
        <v>34</v>
      </c>
      <c r="C17" s="3" t="s">
        <v>35</v>
      </c>
      <c r="D17" s="3">
        <v>89</v>
      </c>
      <c r="E17" s="3">
        <v>114</v>
      </c>
      <c r="F17" s="3">
        <v>38</v>
      </c>
      <c r="G17" s="3" t="s">
        <v>15</v>
      </c>
      <c r="H17" s="5">
        <f>D17/F17</f>
        <v>2.3421052631578947</v>
      </c>
      <c r="I17" s="6"/>
      <c r="J17" s="6"/>
      <c r="K17" s="2">
        <f>K16+1</f>
        <v>15</v>
      </c>
      <c r="L17" s="3" t="s">
        <v>16</v>
      </c>
      <c r="M17" s="3" t="s">
        <v>32</v>
      </c>
      <c r="N17" s="3">
        <v>99</v>
      </c>
      <c r="O17" s="3">
        <v>34</v>
      </c>
      <c r="P17" s="3" t="s">
        <v>18</v>
      </c>
      <c r="Q17" s="5">
        <f t="shared" si="0"/>
        <v>2.9117647058823528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ht="18.75" customHeight="1" x14ac:dyDescent="0.3">
      <c r="I18" s="6"/>
      <c r="J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ht="18.75" customHeight="1" x14ac:dyDescent="0.3"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ht="18.75" customHeight="1" x14ac:dyDescent="0.3">
      <c r="A20" s="21" t="s">
        <v>74</v>
      </c>
      <c r="B20" s="20"/>
      <c r="C20" s="20"/>
      <c r="D20" s="20"/>
      <c r="E20" s="20"/>
      <c r="F20" s="20"/>
      <c r="G20" s="20"/>
      <c r="H20" s="20"/>
      <c r="I20" s="6"/>
      <c r="J20" s="6"/>
      <c r="K20" s="22" t="s">
        <v>75</v>
      </c>
      <c r="L20" s="15"/>
      <c r="M20" s="15"/>
      <c r="N20" s="15"/>
      <c r="O20" s="15"/>
      <c r="P20" s="15"/>
      <c r="Q20" s="15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ht="18.75" customHeight="1" x14ac:dyDescent="0.3">
      <c r="A21" s="2" t="s">
        <v>4</v>
      </c>
      <c r="B21" s="2" t="s">
        <v>5</v>
      </c>
      <c r="C21" s="2" t="s">
        <v>6</v>
      </c>
      <c r="D21" s="2" t="s">
        <v>7</v>
      </c>
      <c r="E21" s="2" t="s">
        <v>62</v>
      </c>
      <c r="F21" s="2" t="s">
        <v>8</v>
      </c>
      <c r="G21" s="2" t="s">
        <v>9</v>
      </c>
      <c r="H21" s="2" t="s">
        <v>366</v>
      </c>
      <c r="I21" s="6"/>
      <c r="J21" s="6"/>
      <c r="K21" s="2" t="s">
        <v>4</v>
      </c>
      <c r="L21" s="2" t="s">
        <v>5</v>
      </c>
      <c r="M21" s="2" t="s">
        <v>6</v>
      </c>
      <c r="N21" s="2" t="s">
        <v>201</v>
      </c>
      <c r="O21" s="2" t="s">
        <v>8</v>
      </c>
      <c r="P21" s="2" t="s">
        <v>9</v>
      </c>
      <c r="Q21" s="2" t="s">
        <v>202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ht="18.75" customHeight="1" x14ac:dyDescent="0.3">
      <c r="A22" s="2">
        <f>1</f>
        <v>1</v>
      </c>
      <c r="B22" s="3" t="s">
        <v>367</v>
      </c>
      <c r="C22" s="3" t="s">
        <v>40</v>
      </c>
      <c r="D22" s="3">
        <v>102</v>
      </c>
      <c r="E22" s="3">
        <v>114</v>
      </c>
      <c r="F22" s="3">
        <v>38</v>
      </c>
      <c r="G22" s="3" t="s">
        <v>18</v>
      </c>
      <c r="H22" s="5">
        <f t="shared" ref="H22:H31" si="1">D22/F22</f>
        <v>2.6842105263157894</v>
      </c>
      <c r="I22" s="6"/>
      <c r="J22" s="6"/>
      <c r="K22" s="2">
        <v>1</v>
      </c>
      <c r="L22" s="3" t="s">
        <v>76</v>
      </c>
      <c r="M22" s="3" t="s">
        <v>77</v>
      </c>
      <c r="N22" s="3">
        <v>11</v>
      </c>
      <c r="O22" s="3">
        <v>30</v>
      </c>
      <c r="P22" s="3" t="s">
        <v>18</v>
      </c>
      <c r="Q22" s="8">
        <f t="shared" ref="Q22:Q36" si="2">N22/O22</f>
        <v>0.36666666666666664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ht="18.75" customHeight="1" x14ac:dyDescent="0.3">
      <c r="A23" s="2">
        <f>A22</f>
        <v>1</v>
      </c>
      <c r="B23" s="3" t="s">
        <v>16</v>
      </c>
      <c r="C23" s="3" t="s">
        <v>27</v>
      </c>
      <c r="D23" s="3">
        <v>91</v>
      </c>
      <c r="E23" s="3">
        <v>102</v>
      </c>
      <c r="F23" s="3">
        <v>34</v>
      </c>
      <c r="G23" s="3" t="s">
        <v>18</v>
      </c>
      <c r="H23" s="5">
        <f t="shared" si="1"/>
        <v>2.6764705882352939</v>
      </c>
      <c r="I23" s="6"/>
      <c r="J23" s="6"/>
      <c r="K23" s="2">
        <f t="shared" ref="K23:K28" si="3">K22+1</f>
        <v>2</v>
      </c>
      <c r="L23" s="3" t="s">
        <v>13</v>
      </c>
      <c r="M23" s="3" t="s">
        <v>78</v>
      </c>
      <c r="N23" s="3">
        <v>16</v>
      </c>
      <c r="O23" s="3">
        <v>42</v>
      </c>
      <c r="P23" s="3" t="s">
        <v>18</v>
      </c>
      <c r="Q23" s="5">
        <f t="shared" si="2"/>
        <v>0.38095238095238093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ht="18.75" customHeight="1" x14ac:dyDescent="0.3">
      <c r="A24" s="2">
        <f>A23+2</f>
        <v>3</v>
      </c>
      <c r="B24" s="3" t="s">
        <v>51</v>
      </c>
      <c r="C24" s="3" t="s">
        <v>35</v>
      </c>
      <c r="D24" s="3">
        <v>90</v>
      </c>
      <c r="E24" s="3">
        <v>102</v>
      </c>
      <c r="F24" s="3">
        <v>34</v>
      </c>
      <c r="G24" s="3" t="s">
        <v>18</v>
      </c>
      <c r="H24" s="5">
        <f t="shared" si="1"/>
        <v>2.6470588235294117</v>
      </c>
      <c r="I24" s="6"/>
      <c r="J24" s="6"/>
      <c r="K24" s="2">
        <f t="shared" si="3"/>
        <v>3</v>
      </c>
      <c r="L24" s="3" t="s">
        <v>48</v>
      </c>
      <c r="M24" s="3" t="s">
        <v>49</v>
      </c>
      <c r="N24" s="3">
        <v>15</v>
      </c>
      <c r="O24" s="3">
        <v>38</v>
      </c>
      <c r="P24" s="3" t="s">
        <v>18</v>
      </c>
      <c r="Q24" s="5">
        <f t="shared" si="2"/>
        <v>0.39473684210526316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ht="18.75" customHeight="1" x14ac:dyDescent="0.3">
      <c r="A25" s="2">
        <f>A24</f>
        <v>3</v>
      </c>
      <c r="B25" s="3" t="s">
        <v>16</v>
      </c>
      <c r="C25" s="3" t="s">
        <v>40</v>
      </c>
      <c r="D25" s="3">
        <v>90</v>
      </c>
      <c r="E25" s="3">
        <v>102</v>
      </c>
      <c r="F25" s="3">
        <v>34</v>
      </c>
      <c r="G25" s="3" t="s">
        <v>18</v>
      </c>
      <c r="H25" s="5">
        <f t="shared" si="1"/>
        <v>2.6470588235294117</v>
      </c>
      <c r="I25" s="6"/>
      <c r="J25" s="6"/>
      <c r="K25" s="2">
        <f t="shared" si="3"/>
        <v>4</v>
      </c>
      <c r="L25" s="3" t="s">
        <v>79</v>
      </c>
      <c r="M25" s="3" t="s">
        <v>80</v>
      </c>
      <c r="N25" s="3">
        <v>12</v>
      </c>
      <c r="O25" s="3">
        <v>30</v>
      </c>
      <c r="P25" s="3" t="s">
        <v>44</v>
      </c>
      <c r="Q25" s="8">
        <f t="shared" si="2"/>
        <v>0.4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ht="18.75" customHeight="1" x14ac:dyDescent="0.3">
      <c r="A26" s="2">
        <f>A25+2</f>
        <v>5</v>
      </c>
      <c r="B26" s="3" t="s">
        <v>53</v>
      </c>
      <c r="C26" s="3" t="s">
        <v>29</v>
      </c>
      <c r="D26" s="3">
        <v>100</v>
      </c>
      <c r="E26" s="3">
        <v>114</v>
      </c>
      <c r="F26" s="3">
        <v>38</v>
      </c>
      <c r="G26" s="3" t="s">
        <v>18</v>
      </c>
      <c r="H26" s="5">
        <f t="shared" si="1"/>
        <v>2.6315789473684212</v>
      </c>
      <c r="I26" s="6"/>
      <c r="J26" s="6"/>
      <c r="K26" s="2">
        <f t="shared" si="3"/>
        <v>5</v>
      </c>
      <c r="L26" s="3" t="s">
        <v>79</v>
      </c>
      <c r="M26" s="3" t="s">
        <v>81</v>
      </c>
      <c r="N26" s="3">
        <v>15</v>
      </c>
      <c r="O26" s="3">
        <v>34</v>
      </c>
      <c r="P26" s="3" t="s">
        <v>18</v>
      </c>
      <c r="Q26" s="8">
        <f t="shared" si="2"/>
        <v>0.44117647058823528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ht="18.75" customHeight="1" x14ac:dyDescent="0.3">
      <c r="A27" s="2">
        <f>A26</f>
        <v>5</v>
      </c>
      <c r="B27" s="3" t="s">
        <v>24</v>
      </c>
      <c r="C27" s="3" t="s">
        <v>27</v>
      </c>
      <c r="D27" s="3">
        <v>100</v>
      </c>
      <c r="E27" s="3">
        <v>114</v>
      </c>
      <c r="F27" s="3">
        <v>38</v>
      </c>
      <c r="G27" s="3" t="s">
        <v>18</v>
      </c>
      <c r="H27" s="5">
        <f t="shared" si="1"/>
        <v>2.6315789473684212</v>
      </c>
      <c r="I27" s="6"/>
      <c r="J27" s="6"/>
      <c r="K27" s="2">
        <f t="shared" si="3"/>
        <v>6</v>
      </c>
      <c r="L27" s="3" t="s">
        <v>34</v>
      </c>
      <c r="M27" s="3" t="s">
        <v>50</v>
      </c>
      <c r="N27" s="3">
        <v>17</v>
      </c>
      <c r="O27" s="3">
        <v>38</v>
      </c>
      <c r="P27" s="3" t="s">
        <v>15</v>
      </c>
      <c r="Q27" s="5">
        <f t="shared" si="2"/>
        <v>0.44736842105263158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t="18.75" customHeight="1" x14ac:dyDescent="0.3">
      <c r="A28" s="2">
        <f>A27</f>
        <v>5</v>
      </c>
      <c r="B28" s="3" t="s">
        <v>19</v>
      </c>
      <c r="C28" s="3" t="s">
        <v>21</v>
      </c>
      <c r="D28" s="3">
        <v>100</v>
      </c>
      <c r="E28" s="3">
        <v>114</v>
      </c>
      <c r="F28" s="3">
        <v>38</v>
      </c>
      <c r="G28" s="3" t="s">
        <v>18</v>
      </c>
      <c r="H28" s="5">
        <f t="shared" si="1"/>
        <v>2.6315789473684212</v>
      </c>
      <c r="I28" s="6"/>
      <c r="J28" s="6"/>
      <c r="K28" s="2">
        <f t="shared" si="3"/>
        <v>7</v>
      </c>
      <c r="L28" s="3" t="s">
        <v>79</v>
      </c>
      <c r="M28" s="3" t="s">
        <v>82</v>
      </c>
      <c r="N28" s="3">
        <v>14</v>
      </c>
      <c r="O28" s="3">
        <v>30</v>
      </c>
      <c r="P28" s="3" t="s">
        <v>18</v>
      </c>
      <c r="Q28" s="8">
        <f t="shared" si="2"/>
        <v>0.46666666666666667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ht="18.75" customHeight="1" x14ac:dyDescent="0.3">
      <c r="A29" s="2">
        <f>A28+3</f>
        <v>8</v>
      </c>
      <c r="B29" s="3" t="s">
        <v>16</v>
      </c>
      <c r="C29" s="3" t="s">
        <v>17</v>
      </c>
      <c r="D29" s="3">
        <v>89</v>
      </c>
      <c r="E29" s="3">
        <v>102</v>
      </c>
      <c r="F29" s="3">
        <v>34</v>
      </c>
      <c r="G29" s="3" t="s">
        <v>18</v>
      </c>
      <c r="H29" s="5">
        <f t="shared" si="1"/>
        <v>2.6176470588235294</v>
      </c>
      <c r="I29" s="6"/>
      <c r="J29" s="6"/>
      <c r="K29" s="2">
        <f>K28</f>
        <v>7</v>
      </c>
      <c r="L29" s="7" t="s">
        <v>367</v>
      </c>
      <c r="M29" s="3" t="s">
        <v>83</v>
      </c>
      <c r="N29" s="3">
        <v>14</v>
      </c>
      <c r="O29" s="3">
        <v>30</v>
      </c>
      <c r="P29" s="3" t="s">
        <v>18</v>
      </c>
      <c r="Q29" s="8">
        <f t="shared" si="2"/>
        <v>0.46666666666666667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ht="18.75" customHeight="1" x14ac:dyDescent="0.3">
      <c r="A30" s="2">
        <f>A29+1</f>
        <v>9</v>
      </c>
      <c r="B30" s="3" t="s">
        <v>13</v>
      </c>
      <c r="C30" s="3" t="s">
        <v>31</v>
      </c>
      <c r="D30" s="3">
        <v>99</v>
      </c>
      <c r="E30" s="3">
        <v>114</v>
      </c>
      <c r="F30" s="3">
        <v>38</v>
      </c>
      <c r="G30" s="3" t="s">
        <v>18</v>
      </c>
      <c r="H30" s="5">
        <f t="shared" si="1"/>
        <v>2.6052631578947367</v>
      </c>
      <c r="I30" s="6"/>
      <c r="J30" s="6"/>
      <c r="K30" s="2">
        <f>K29</f>
        <v>7</v>
      </c>
      <c r="L30" s="7" t="s">
        <v>64</v>
      </c>
      <c r="M30" s="3" t="s">
        <v>65</v>
      </c>
      <c r="N30" s="3">
        <v>14</v>
      </c>
      <c r="O30" s="3">
        <v>30</v>
      </c>
      <c r="P30" s="3" t="s">
        <v>15</v>
      </c>
      <c r="Q30" s="8">
        <f t="shared" si="2"/>
        <v>0.46666666666666667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ht="18.75" customHeight="1" x14ac:dyDescent="0.3">
      <c r="A31" s="2">
        <f>A30</f>
        <v>9</v>
      </c>
      <c r="B31" s="3" t="s">
        <v>24</v>
      </c>
      <c r="C31" s="3" t="s">
        <v>20</v>
      </c>
      <c r="D31" s="3">
        <v>99</v>
      </c>
      <c r="E31" s="3">
        <v>114</v>
      </c>
      <c r="F31" s="3">
        <v>38</v>
      </c>
      <c r="G31" s="3" t="s">
        <v>18</v>
      </c>
      <c r="H31" s="5">
        <f t="shared" si="1"/>
        <v>2.6052631578947367</v>
      </c>
      <c r="I31" s="6"/>
      <c r="J31" s="6"/>
      <c r="K31" s="2">
        <f>K30</f>
        <v>7</v>
      </c>
      <c r="L31" s="3" t="s">
        <v>34</v>
      </c>
      <c r="M31" s="3" t="s">
        <v>84</v>
      </c>
      <c r="N31" s="3">
        <v>18</v>
      </c>
      <c r="O31" s="3">
        <v>38</v>
      </c>
      <c r="P31" s="3" t="s">
        <v>18</v>
      </c>
      <c r="Q31" s="5">
        <f t="shared" si="2"/>
        <v>0.47368421052631576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 ht="18.75" customHeight="1" x14ac:dyDescent="0.3">
      <c r="A32" s="2">
        <f>A31+2</f>
        <v>11</v>
      </c>
      <c r="B32" s="3" t="s">
        <v>19</v>
      </c>
      <c r="C32" s="3" t="s">
        <v>72</v>
      </c>
      <c r="D32" s="3">
        <v>52</v>
      </c>
      <c r="E32" s="3" t="s">
        <v>66</v>
      </c>
      <c r="F32" s="3">
        <v>30</v>
      </c>
      <c r="G32" s="3" t="s">
        <v>18</v>
      </c>
      <c r="H32" s="5">
        <f>(D32/60)*3</f>
        <v>2.6</v>
      </c>
      <c r="I32" s="6"/>
      <c r="J32" s="6"/>
      <c r="K32" s="2">
        <f>K31</f>
        <v>7</v>
      </c>
      <c r="L32" s="3" t="s">
        <v>368</v>
      </c>
      <c r="M32" s="3" t="s">
        <v>81</v>
      </c>
      <c r="N32" s="3">
        <v>18</v>
      </c>
      <c r="O32" s="3">
        <v>38</v>
      </c>
      <c r="P32" s="3" t="s">
        <v>15</v>
      </c>
      <c r="Q32" s="5">
        <f t="shared" si="2"/>
        <v>0.47368421052631576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 ht="18.75" customHeight="1" x14ac:dyDescent="0.3">
      <c r="A33" s="2">
        <f>A32+1</f>
        <v>12</v>
      </c>
      <c r="B33" s="3" t="s">
        <v>16</v>
      </c>
      <c r="C33" s="3" t="s">
        <v>30</v>
      </c>
      <c r="D33" s="3">
        <v>88</v>
      </c>
      <c r="E33" s="3">
        <v>102</v>
      </c>
      <c r="F33" s="3">
        <v>34</v>
      </c>
      <c r="G33" s="3" t="s">
        <v>18</v>
      </c>
      <c r="H33" s="5">
        <f>D33/F33</f>
        <v>2.5882352941176472</v>
      </c>
      <c r="I33" s="6"/>
      <c r="J33" s="6"/>
      <c r="K33" s="2">
        <f>K32</f>
        <v>7</v>
      </c>
      <c r="L33" s="3" t="s">
        <v>52</v>
      </c>
      <c r="M33" s="3" t="s">
        <v>30</v>
      </c>
      <c r="N33" s="3">
        <v>18</v>
      </c>
      <c r="O33" s="3">
        <v>38</v>
      </c>
      <c r="P33" s="3" t="s">
        <v>44</v>
      </c>
      <c r="Q33" s="5">
        <f t="shared" si="2"/>
        <v>0.47368421052631576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1:34" ht="18.75" customHeight="1" x14ac:dyDescent="0.3">
      <c r="A34" s="2">
        <f>A33+1</f>
        <v>13</v>
      </c>
      <c r="B34" s="3" t="s">
        <v>53</v>
      </c>
      <c r="C34" s="3" t="s">
        <v>14</v>
      </c>
      <c r="D34" s="3">
        <v>98</v>
      </c>
      <c r="E34" s="3">
        <v>114</v>
      </c>
      <c r="F34" s="3">
        <v>38</v>
      </c>
      <c r="G34" s="3" t="s">
        <v>18</v>
      </c>
      <c r="H34" s="5">
        <f>D34/F34</f>
        <v>2.5789473684210527</v>
      </c>
      <c r="I34" s="6"/>
      <c r="J34" s="6"/>
      <c r="K34" s="2">
        <f>K33+6</f>
        <v>13</v>
      </c>
      <c r="L34" s="3" t="s">
        <v>41</v>
      </c>
      <c r="M34" s="3" t="s">
        <v>30</v>
      </c>
      <c r="N34" s="3">
        <v>19</v>
      </c>
      <c r="O34" s="3">
        <v>38</v>
      </c>
      <c r="P34" s="3" t="s">
        <v>18</v>
      </c>
      <c r="Q34" s="5">
        <f t="shared" si="2"/>
        <v>0.5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 ht="18.75" customHeight="1" x14ac:dyDescent="0.3">
      <c r="A35" s="2">
        <f>A34+1</f>
        <v>14</v>
      </c>
      <c r="B35" s="3" t="s">
        <v>55</v>
      </c>
      <c r="C35" s="3" t="s">
        <v>85</v>
      </c>
      <c r="D35" s="3">
        <v>58</v>
      </c>
      <c r="E35" s="3" t="s">
        <v>70</v>
      </c>
      <c r="F35" s="3">
        <v>34</v>
      </c>
      <c r="G35" s="3" t="s">
        <v>18</v>
      </c>
      <c r="H35" s="5">
        <f>(D35/68)*3</f>
        <v>2.5588235294117645</v>
      </c>
      <c r="I35" s="6"/>
      <c r="J35" s="6"/>
      <c r="K35" s="2">
        <f>K34</f>
        <v>13</v>
      </c>
      <c r="L35" s="7" t="s">
        <v>367</v>
      </c>
      <c r="M35" s="3" t="s">
        <v>86</v>
      </c>
      <c r="N35" s="3">
        <v>15</v>
      </c>
      <c r="O35" s="3">
        <v>30</v>
      </c>
      <c r="P35" s="3" t="s">
        <v>18</v>
      </c>
      <c r="Q35" s="8">
        <f t="shared" si="2"/>
        <v>0.5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 ht="18.75" customHeight="1" x14ac:dyDescent="0.3">
      <c r="A36" s="2">
        <f>A35+1</f>
        <v>15</v>
      </c>
      <c r="B36" s="3" t="s">
        <v>13</v>
      </c>
      <c r="C36" s="3" t="s">
        <v>14</v>
      </c>
      <c r="D36" s="3">
        <v>97</v>
      </c>
      <c r="E36" s="3">
        <v>114</v>
      </c>
      <c r="F36" s="3">
        <v>38</v>
      </c>
      <c r="G36" s="3" t="s">
        <v>15</v>
      </c>
      <c r="H36" s="5">
        <f>D36/F36</f>
        <v>2.5526315789473686</v>
      </c>
      <c r="I36" s="6"/>
      <c r="J36" s="6"/>
      <c r="K36" s="2">
        <f>K35</f>
        <v>13</v>
      </c>
      <c r="L36" s="3" t="s">
        <v>16</v>
      </c>
      <c r="M36" s="3" t="s">
        <v>30</v>
      </c>
      <c r="N36" s="3">
        <v>17</v>
      </c>
      <c r="O36" s="3">
        <v>34</v>
      </c>
      <c r="P36" s="3" t="s">
        <v>18</v>
      </c>
      <c r="Q36" s="5">
        <f t="shared" si="2"/>
        <v>0.5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ht="18.75" customHeight="1" x14ac:dyDescent="0.3">
      <c r="A37" s="2">
        <f>A36</f>
        <v>15</v>
      </c>
      <c r="B37" s="3" t="s">
        <v>55</v>
      </c>
      <c r="C37" s="3" t="s">
        <v>56</v>
      </c>
      <c r="D37" s="3">
        <v>97</v>
      </c>
      <c r="E37" s="3">
        <v>114</v>
      </c>
      <c r="F37" s="3">
        <v>38</v>
      </c>
      <c r="G37" s="3" t="s">
        <v>18</v>
      </c>
      <c r="H37" s="5">
        <f>D37/F37</f>
        <v>2.5526315789473686</v>
      </c>
      <c r="I37" s="6"/>
      <c r="J37" s="6"/>
      <c r="K37" s="1"/>
      <c r="L37" s="1"/>
      <c r="M37" s="1"/>
      <c r="N37" s="1"/>
      <c r="O37" s="1"/>
      <c r="P37" s="1"/>
      <c r="Q37" s="1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ht="18.75" customHeight="1" x14ac:dyDescent="0.3">
      <c r="A38" s="2">
        <f>A37</f>
        <v>15</v>
      </c>
      <c r="B38" s="3" t="s">
        <v>367</v>
      </c>
      <c r="C38" s="3" t="s">
        <v>65</v>
      </c>
      <c r="D38" s="3">
        <v>51</v>
      </c>
      <c r="E38" s="3" t="s">
        <v>66</v>
      </c>
      <c r="F38" s="3">
        <v>30</v>
      </c>
      <c r="G38" s="3" t="s">
        <v>18</v>
      </c>
      <c r="H38" s="5">
        <f>(D38/60)*3</f>
        <v>2.5499999999999998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ht="18.75" customHeight="1" x14ac:dyDescent="0.3">
      <c r="A39" s="2">
        <f>A38</f>
        <v>15</v>
      </c>
      <c r="B39" s="3" t="s">
        <v>24</v>
      </c>
      <c r="C39" s="3" t="s">
        <v>63</v>
      </c>
      <c r="D39" s="3">
        <v>51</v>
      </c>
      <c r="E39" s="3" t="s">
        <v>66</v>
      </c>
      <c r="F39" s="3">
        <v>30</v>
      </c>
      <c r="G39" s="3" t="s">
        <v>18</v>
      </c>
      <c r="H39" s="5">
        <f>(D39/60)*3</f>
        <v>2.5499999999999998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 ht="18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ht="18.75" customHeight="1" x14ac:dyDescent="0.3"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ht="18.75" customHeight="1" x14ac:dyDescent="0.3">
      <c r="I42" s="6"/>
      <c r="J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ht="18.75" customHeight="1" x14ac:dyDescent="0.3">
      <c r="I43" s="6"/>
      <c r="J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ht="18.75" customHeight="1" x14ac:dyDescent="0.3">
      <c r="I44" s="6"/>
      <c r="J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 ht="18.75" customHeight="1" x14ac:dyDescent="0.3">
      <c r="I45" s="6"/>
      <c r="J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ht="18.75" customHeight="1" x14ac:dyDescent="0.3">
      <c r="I46" s="6"/>
      <c r="J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ht="18.75" customHeight="1" x14ac:dyDescent="0.3">
      <c r="I47" s="6"/>
      <c r="J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1:34" ht="18.75" customHeight="1" x14ac:dyDescent="0.3">
      <c r="I48" s="6"/>
      <c r="J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ht="18.75" customHeight="1" x14ac:dyDescent="0.3">
      <c r="I49" s="6"/>
      <c r="J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 ht="18.75" customHeight="1" x14ac:dyDescent="0.3">
      <c r="I50" s="6"/>
      <c r="J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1:34" ht="18.75" customHeight="1" x14ac:dyDescent="0.3">
      <c r="I51" s="6"/>
      <c r="J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 ht="18.75" customHeight="1" x14ac:dyDescent="0.3">
      <c r="I52" s="6"/>
      <c r="J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 ht="18.75" customHeight="1" x14ac:dyDescent="0.3">
      <c r="I53" s="6"/>
      <c r="J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 ht="18.75" customHeight="1" x14ac:dyDescent="0.3">
      <c r="I54" s="6"/>
      <c r="J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ht="18.75" customHeight="1" x14ac:dyDescent="0.3">
      <c r="I55" s="6"/>
      <c r="J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 ht="18.75" customHeight="1" x14ac:dyDescent="0.3">
      <c r="I56" s="6"/>
      <c r="J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 ht="18.75" customHeight="1" x14ac:dyDescent="0.3">
      <c r="I57" s="6"/>
      <c r="J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 ht="18.75" customHeight="1" x14ac:dyDescent="0.3">
      <c r="I58" s="6"/>
      <c r="J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 ht="18.75" customHeight="1" x14ac:dyDescent="0.3"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 ht="18.75" customHeight="1" x14ac:dyDescent="0.3"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1:34" ht="18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1:34" ht="18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 ht="18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1:34" ht="18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1:34" ht="18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1:34" ht="18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1:34" ht="18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1:34" ht="18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 ht="18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1:34" ht="18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1:34" ht="18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1:34" ht="18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1:34" ht="18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1:34" ht="18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1:34" ht="18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1:34" ht="18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spans="1:34" ht="18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1:34" ht="18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1:34" ht="18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1:34" ht="18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1:34" ht="18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1:34" ht="18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1:34" ht="18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 ht="18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1:34" ht="18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</sheetData>
  <mergeCells count="4">
    <mergeCell ref="A1:H1"/>
    <mergeCell ref="A20:H20"/>
    <mergeCell ref="K20:Q20"/>
    <mergeCell ref="K1:Q1"/>
  </mergeCells>
  <conditionalFormatting sqref="H3:H6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17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:H10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:H15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6:H17"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2:H26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2:H39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7:H3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3:H35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6:H39"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5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:Q7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:Q11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:Q17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2:Q25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22:Q3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26:Q31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2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3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4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5:Q3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9"/>
  <sheetViews>
    <sheetView topLeftCell="A22" workbookViewId="0">
      <selection activeCell="E55" sqref="E55"/>
    </sheetView>
  </sheetViews>
  <sheetFormatPr baseColWidth="10" defaultRowHeight="15" x14ac:dyDescent="0.25"/>
  <cols>
    <col min="2" max="2" width="24.42578125" customWidth="1"/>
    <col min="3" max="3" width="17.7109375" customWidth="1"/>
    <col min="4" max="4" width="17" customWidth="1"/>
    <col min="5" max="5" width="30.7109375" bestFit="1" customWidth="1"/>
    <col min="6" max="6" width="23.42578125" bestFit="1" customWidth="1"/>
    <col min="7" max="7" width="13.85546875" bestFit="1" customWidth="1"/>
    <col min="8" max="8" width="32.85546875" customWidth="1"/>
    <col min="11" max="11" width="15.28515625" customWidth="1"/>
    <col min="12" max="12" width="28.28515625" bestFit="1" customWidth="1"/>
    <col min="13" max="13" width="16.5703125" customWidth="1"/>
    <col min="14" max="14" width="19" bestFit="1" customWidth="1"/>
    <col min="15" max="15" width="23.42578125" bestFit="1" customWidth="1"/>
    <col min="16" max="16" width="13.85546875" bestFit="1" customWidth="1"/>
    <col min="17" max="17" width="33.5703125" bestFit="1" customWidth="1"/>
  </cols>
  <sheetData>
    <row r="1" spans="1:31" ht="18.75" customHeight="1" x14ac:dyDescent="0.3">
      <c r="A1" s="21" t="s">
        <v>87</v>
      </c>
      <c r="B1" s="23"/>
      <c r="C1" s="23"/>
      <c r="D1" s="23"/>
      <c r="E1" s="23"/>
      <c r="F1" s="23"/>
      <c r="G1" s="23"/>
      <c r="H1" s="23"/>
      <c r="I1" s="1"/>
      <c r="J1" s="1"/>
      <c r="K1" s="21" t="s">
        <v>88</v>
      </c>
      <c r="L1" s="20"/>
      <c r="M1" s="20"/>
      <c r="N1" s="20"/>
      <c r="O1" s="20"/>
      <c r="P1" s="20"/>
      <c r="Q1" s="20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366</v>
      </c>
      <c r="I2" s="1"/>
      <c r="J2" s="1"/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8.75" customHeight="1" x14ac:dyDescent="0.3">
      <c r="A3" s="2">
        <v>1</v>
      </c>
      <c r="B3" s="3" t="s">
        <v>13</v>
      </c>
      <c r="C3" s="3" t="s">
        <v>14</v>
      </c>
      <c r="D3" s="3">
        <v>97</v>
      </c>
      <c r="E3" s="3">
        <v>114</v>
      </c>
      <c r="F3" s="3">
        <v>38</v>
      </c>
      <c r="G3" s="3" t="s">
        <v>15</v>
      </c>
      <c r="H3" s="5">
        <f>D3/F3</f>
        <v>2.5526315789473686</v>
      </c>
      <c r="I3" s="1"/>
      <c r="J3" s="1"/>
      <c r="K3" s="2">
        <v>1</v>
      </c>
      <c r="L3" s="3" t="s">
        <v>89</v>
      </c>
      <c r="M3" s="3" t="s">
        <v>90</v>
      </c>
      <c r="N3" s="3">
        <v>73</v>
      </c>
      <c r="O3" s="3">
        <v>18</v>
      </c>
      <c r="P3" s="3" t="s">
        <v>18</v>
      </c>
      <c r="Q3" s="5">
        <f t="shared" ref="Q3:Q23" si="0">N3/O3</f>
        <v>4.0555555555555554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.75" customHeight="1" x14ac:dyDescent="0.3">
      <c r="A4" s="2">
        <f>A3+1</f>
        <v>2</v>
      </c>
      <c r="B4" s="3" t="s">
        <v>19</v>
      </c>
      <c r="C4" s="3" t="s">
        <v>20</v>
      </c>
      <c r="D4" s="3">
        <v>96</v>
      </c>
      <c r="E4" s="3">
        <v>114</v>
      </c>
      <c r="F4" s="3">
        <v>38</v>
      </c>
      <c r="G4" s="3" t="s">
        <v>15</v>
      </c>
      <c r="H4" s="5">
        <f>D4/F4</f>
        <v>2.5263157894736841</v>
      </c>
      <c r="I4" s="1"/>
      <c r="J4" s="1"/>
      <c r="K4" s="2">
        <f>K3+1</f>
        <v>2</v>
      </c>
      <c r="L4" s="3" t="s">
        <v>16</v>
      </c>
      <c r="M4" s="3" t="s">
        <v>17</v>
      </c>
      <c r="N4" s="3">
        <v>122</v>
      </c>
      <c r="O4" s="3">
        <v>34</v>
      </c>
      <c r="P4" s="3" t="s">
        <v>18</v>
      </c>
      <c r="Q4" s="5">
        <f t="shared" si="0"/>
        <v>3.5882352941176472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8.75" customHeight="1" x14ac:dyDescent="0.3">
      <c r="A5" s="2">
        <f>A4+1</f>
        <v>3</v>
      </c>
      <c r="B5" s="7" t="s">
        <v>64</v>
      </c>
      <c r="C5" s="7" t="s">
        <v>65</v>
      </c>
      <c r="D5" s="7">
        <v>50</v>
      </c>
      <c r="E5" s="7" t="s">
        <v>66</v>
      </c>
      <c r="F5" s="7">
        <v>30</v>
      </c>
      <c r="G5" s="7" t="s">
        <v>15</v>
      </c>
      <c r="H5" s="8">
        <f>(D5/60)*3</f>
        <v>2.5</v>
      </c>
      <c r="I5" s="1"/>
      <c r="J5" s="1"/>
      <c r="K5" s="2">
        <f>K4+1</f>
        <v>3</v>
      </c>
      <c r="L5" s="3" t="s">
        <v>91</v>
      </c>
      <c r="M5" s="3" t="s">
        <v>92</v>
      </c>
      <c r="N5" s="3">
        <v>93</v>
      </c>
      <c r="O5" s="3">
        <v>26</v>
      </c>
      <c r="P5" s="3" t="s">
        <v>18</v>
      </c>
      <c r="Q5" s="5">
        <f t="shared" si="0"/>
        <v>3.5769230769230771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8.75" customHeight="1" x14ac:dyDescent="0.3">
      <c r="A6" s="2">
        <f>A5+1</f>
        <v>4</v>
      </c>
      <c r="B6" s="3" t="s">
        <v>13</v>
      </c>
      <c r="C6" s="3" t="s">
        <v>26</v>
      </c>
      <c r="D6" s="3">
        <v>92</v>
      </c>
      <c r="E6" s="3">
        <v>114</v>
      </c>
      <c r="F6" s="3">
        <v>38</v>
      </c>
      <c r="G6" s="3" t="s">
        <v>15</v>
      </c>
      <c r="H6" s="5">
        <f>D6/F6</f>
        <v>2.4210526315789473</v>
      </c>
      <c r="I6" s="1"/>
      <c r="J6" s="1"/>
      <c r="K6" s="2">
        <f>K5+1</f>
        <v>4</v>
      </c>
      <c r="L6" s="3" t="s">
        <v>93</v>
      </c>
      <c r="M6" s="3" t="s">
        <v>94</v>
      </c>
      <c r="N6" s="3">
        <v>78</v>
      </c>
      <c r="O6" s="3">
        <v>22</v>
      </c>
      <c r="P6" s="3" t="s">
        <v>44</v>
      </c>
      <c r="Q6" s="5">
        <f t="shared" si="0"/>
        <v>3.5454545454545454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8.75" customHeight="1" x14ac:dyDescent="0.3">
      <c r="A7" s="2">
        <f>A6</f>
        <v>4</v>
      </c>
      <c r="B7" s="3" t="s">
        <v>19</v>
      </c>
      <c r="C7" s="3" t="s">
        <v>22</v>
      </c>
      <c r="D7" s="3">
        <v>92</v>
      </c>
      <c r="E7" s="3">
        <v>114</v>
      </c>
      <c r="F7" s="3">
        <v>38</v>
      </c>
      <c r="G7" s="3" t="s">
        <v>15</v>
      </c>
      <c r="H7" s="5">
        <f>D7/F7</f>
        <v>2.4210526315789473</v>
      </c>
      <c r="I7" s="1"/>
      <c r="J7" s="1"/>
      <c r="K7" s="2">
        <f>K6+1</f>
        <v>5</v>
      </c>
      <c r="L7" s="3" t="s">
        <v>89</v>
      </c>
      <c r="M7" s="3" t="s">
        <v>95</v>
      </c>
      <c r="N7" s="3">
        <v>63</v>
      </c>
      <c r="O7" s="3">
        <v>18</v>
      </c>
      <c r="P7" s="3" t="s">
        <v>18</v>
      </c>
      <c r="Q7" s="5">
        <f t="shared" si="0"/>
        <v>3.5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8.75" customHeight="1" x14ac:dyDescent="0.3">
      <c r="A8" s="2">
        <f>A7</f>
        <v>4</v>
      </c>
      <c r="B8" s="3" t="s">
        <v>19</v>
      </c>
      <c r="C8" s="3" t="s">
        <v>23</v>
      </c>
      <c r="D8" s="3">
        <v>92</v>
      </c>
      <c r="E8" s="3">
        <v>114</v>
      </c>
      <c r="F8" s="3">
        <v>38</v>
      </c>
      <c r="G8" s="3" t="s">
        <v>15</v>
      </c>
      <c r="H8" s="5">
        <f>D8/F8</f>
        <v>2.4210526315789473</v>
      </c>
      <c r="I8" s="1"/>
      <c r="J8" s="1"/>
      <c r="K8" s="2">
        <f>K7</f>
        <v>5</v>
      </c>
      <c r="L8" s="3" t="s">
        <v>89</v>
      </c>
      <c r="M8" s="3" t="s">
        <v>96</v>
      </c>
      <c r="N8" s="3">
        <v>63</v>
      </c>
      <c r="O8" s="3">
        <v>18</v>
      </c>
      <c r="P8" s="3" t="s">
        <v>15</v>
      </c>
      <c r="Q8" s="5">
        <f t="shared" si="0"/>
        <v>3.5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8.75" customHeight="1" x14ac:dyDescent="0.3">
      <c r="A9" s="2">
        <f>A8+3</f>
        <v>7</v>
      </c>
      <c r="B9" s="7" t="s">
        <v>28</v>
      </c>
      <c r="C9" s="7" t="s">
        <v>29</v>
      </c>
      <c r="D9" s="7">
        <v>91</v>
      </c>
      <c r="E9" s="7">
        <v>114</v>
      </c>
      <c r="F9" s="7">
        <v>38</v>
      </c>
      <c r="G9" s="7" t="s">
        <v>15</v>
      </c>
      <c r="H9" s="8">
        <f>D9/F9</f>
        <v>2.3947368421052633</v>
      </c>
      <c r="I9" s="1"/>
      <c r="J9" s="1"/>
      <c r="K9" s="2">
        <f>K8+2</f>
        <v>7</v>
      </c>
      <c r="L9" s="3" t="s">
        <v>97</v>
      </c>
      <c r="M9" s="3" t="s">
        <v>92</v>
      </c>
      <c r="N9" s="3">
        <v>89</v>
      </c>
      <c r="O9" s="3">
        <v>26</v>
      </c>
      <c r="P9" s="3" t="s">
        <v>98</v>
      </c>
      <c r="Q9" s="5">
        <f t="shared" si="0"/>
        <v>3.4230769230769229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8.75" customHeight="1" x14ac:dyDescent="0.3">
      <c r="A10" s="2">
        <f>A9</f>
        <v>7</v>
      </c>
      <c r="B10" s="3" t="s">
        <v>24</v>
      </c>
      <c r="C10" s="3" t="s">
        <v>21</v>
      </c>
      <c r="D10" s="3">
        <v>91</v>
      </c>
      <c r="E10" s="3">
        <v>114</v>
      </c>
      <c r="F10" s="3">
        <v>38</v>
      </c>
      <c r="G10" s="3" t="s">
        <v>15</v>
      </c>
      <c r="H10" s="5">
        <f>D10/F10</f>
        <v>2.3947368421052633</v>
      </c>
      <c r="I10" s="1"/>
      <c r="J10" s="1"/>
      <c r="K10" s="2">
        <f t="shared" ref="K10:K16" si="1">K9+1</f>
        <v>8</v>
      </c>
      <c r="L10" s="3" t="s">
        <v>89</v>
      </c>
      <c r="M10" s="3" t="s">
        <v>99</v>
      </c>
      <c r="N10" s="3">
        <v>61</v>
      </c>
      <c r="O10" s="3">
        <v>18</v>
      </c>
      <c r="P10" s="3" t="s">
        <v>18</v>
      </c>
      <c r="Q10" s="5">
        <f t="shared" si="0"/>
        <v>3.3888888888888888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8.75" customHeight="1" x14ac:dyDescent="0.3">
      <c r="A11" s="2">
        <f>A10+2</f>
        <v>9</v>
      </c>
      <c r="B11" s="7" t="s">
        <v>55</v>
      </c>
      <c r="C11" s="7" t="s">
        <v>69</v>
      </c>
      <c r="D11" s="7">
        <v>54</v>
      </c>
      <c r="E11" s="7" t="s">
        <v>70</v>
      </c>
      <c r="F11" s="7">
        <v>34</v>
      </c>
      <c r="G11" s="7" t="s">
        <v>15</v>
      </c>
      <c r="H11" s="8">
        <f>(D11/68)*3</f>
        <v>2.3823529411764706</v>
      </c>
      <c r="I11" s="1"/>
      <c r="J11" s="1"/>
      <c r="K11" s="2">
        <f t="shared" si="1"/>
        <v>9</v>
      </c>
      <c r="L11" s="3" t="s">
        <v>100</v>
      </c>
      <c r="M11" s="3" t="s">
        <v>101</v>
      </c>
      <c r="N11" s="3">
        <v>74</v>
      </c>
      <c r="O11" s="3">
        <v>22</v>
      </c>
      <c r="P11" s="3" t="s">
        <v>18</v>
      </c>
      <c r="Q11" s="5">
        <f t="shared" si="0"/>
        <v>3.3636363636363638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8.75" customHeight="1" x14ac:dyDescent="0.3">
      <c r="A12" s="2">
        <f>A11+1</f>
        <v>10</v>
      </c>
      <c r="B12" s="3" t="s">
        <v>24</v>
      </c>
      <c r="C12" s="3" t="s">
        <v>25</v>
      </c>
      <c r="D12" s="3">
        <v>90</v>
      </c>
      <c r="E12" s="3">
        <v>114</v>
      </c>
      <c r="F12" s="3">
        <v>38</v>
      </c>
      <c r="G12" s="3" t="s">
        <v>15</v>
      </c>
      <c r="H12" s="5">
        <f>D12/F12</f>
        <v>2.3684210526315788</v>
      </c>
      <c r="I12" s="1"/>
      <c r="J12" s="1"/>
      <c r="K12" s="2">
        <f t="shared" si="1"/>
        <v>10</v>
      </c>
      <c r="L12" s="3" t="s">
        <v>91</v>
      </c>
      <c r="M12" s="3" t="s">
        <v>102</v>
      </c>
      <c r="N12" s="3">
        <v>100</v>
      </c>
      <c r="O12" s="3">
        <v>30</v>
      </c>
      <c r="P12" s="3" t="s">
        <v>18</v>
      </c>
      <c r="Q12" s="5">
        <f t="shared" si="0"/>
        <v>3.3333333333333335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8.75" customHeight="1" x14ac:dyDescent="0.3">
      <c r="A13" s="2">
        <f>A12</f>
        <v>10</v>
      </c>
      <c r="B13" s="3" t="s">
        <v>19</v>
      </c>
      <c r="C13" s="3" t="s">
        <v>30</v>
      </c>
      <c r="D13" s="3">
        <v>90</v>
      </c>
      <c r="E13" s="3">
        <v>114</v>
      </c>
      <c r="F13" s="3">
        <v>38</v>
      </c>
      <c r="G13" s="3" t="s">
        <v>15</v>
      </c>
      <c r="H13" s="5">
        <f>D13/F13</f>
        <v>2.3684210526315788</v>
      </c>
      <c r="I13" s="1"/>
      <c r="J13" s="1"/>
      <c r="K13" s="2">
        <f t="shared" si="1"/>
        <v>11</v>
      </c>
      <c r="L13" s="3" t="s">
        <v>103</v>
      </c>
      <c r="M13" s="3" t="s">
        <v>104</v>
      </c>
      <c r="N13" s="3">
        <v>85</v>
      </c>
      <c r="O13" s="3">
        <v>26</v>
      </c>
      <c r="P13" s="3" t="s">
        <v>18</v>
      </c>
      <c r="Q13" s="5">
        <f t="shared" si="0"/>
        <v>3.2692307692307692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8.75" customHeight="1" x14ac:dyDescent="0.3">
      <c r="A14" s="2">
        <f>A13+2</f>
        <v>12</v>
      </c>
      <c r="B14" s="3" t="s">
        <v>105</v>
      </c>
      <c r="C14" s="3" t="s">
        <v>106</v>
      </c>
      <c r="D14" s="3">
        <v>47</v>
      </c>
      <c r="E14" s="3" t="s">
        <v>66</v>
      </c>
      <c r="F14" s="3">
        <v>30</v>
      </c>
      <c r="G14" s="3" t="s">
        <v>15</v>
      </c>
      <c r="H14" s="3">
        <f>(D14/60)*3</f>
        <v>2.35</v>
      </c>
      <c r="I14" s="1"/>
      <c r="J14" s="1"/>
      <c r="K14" s="2">
        <f t="shared" si="1"/>
        <v>12</v>
      </c>
      <c r="L14" s="3" t="s">
        <v>100</v>
      </c>
      <c r="M14" s="3" t="s">
        <v>94</v>
      </c>
      <c r="N14" s="3">
        <v>71</v>
      </c>
      <c r="O14" s="3">
        <v>22</v>
      </c>
      <c r="P14" s="3" t="s">
        <v>18</v>
      </c>
      <c r="Q14" s="5">
        <f t="shared" si="0"/>
        <v>3.2272727272727271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8.75" customHeight="1" x14ac:dyDescent="0.3">
      <c r="A15" s="2">
        <f>A14</f>
        <v>12</v>
      </c>
      <c r="B15" s="3" t="s">
        <v>24</v>
      </c>
      <c r="C15" s="3" t="s">
        <v>73</v>
      </c>
      <c r="D15" s="3">
        <v>47</v>
      </c>
      <c r="E15" s="3" t="s">
        <v>66</v>
      </c>
      <c r="F15" s="3">
        <v>30</v>
      </c>
      <c r="G15" s="3" t="s">
        <v>15</v>
      </c>
      <c r="H15" s="5">
        <f>(D15/60)*3</f>
        <v>2.35</v>
      </c>
      <c r="I15" s="1"/>
      <c r="J15" s="1"/>
      <c r="K15" s="2">
        <f t="shared" si="1"/>
        <v>13</v>
      </c>
      <c r="L15" s="3" t="s">
        <v>24</v>
      </c>
      <c r="M15" s="3" t="s">
        <v>63</v>
      </c>
      <c r="N15" s="3">
        <v>96</v>
      </c>
      <c r="O15" s="3">
        <v>30</v>
      </c>
      <c r="P15" s="3" t="s">
        <v>18</v>
      </c>
      <c r="Q15" s="5">
        <f t="shared" si="0"/>
        <v>3.2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8.75" customHeight="1" x14ac:dyDescent="0.3">
      <c r="A16" s="2">
        <f>A15</f>
        <v>12</v>
      </c>
      <c r="B16" s="3" t="s">
        <v>19</v>
      </c>
      <c r="C16" s="3" t="s">
        <v>63</v>
      </c>
      <c r="D16" s="3">
        <v>47</v>
      </c>
      <c r="E16" s="3" t="s">
        <v>66</v>
      </c>
      <c r="F16" s="3">
        <v>30</v>
      </c>
      <c r="G16" s="3" t="s">
        <v>15</v>
      </c>
      <c r="H16" s="5">
        <f>(D16/60)*3</f>
        <v>2.35</v>
      </c>
      <c r="I16" s="1"/>
      <c r="J16" s="1"/>
      <c r="K16" s="2">
        <f t="shared" si="1"/>
        <v>14</v>
      </c>
      <c r="L16" s="3" t="s">
        <v>19</v>
      </c>
      <c r="M16" s="3" t="s">
        <v>21</v>
      </c>
      <c r="N16" s="3">
        <v>121</v>
      </c>
      <c r="O16" s="3">
        <v>38</v>
      </c>
      <c r="P16" s="3" t="s">
        <v>18</v>
      </c>
      <c r="Q16" s="5">
        <f t="shared" si="0"/>
        <v>3.1842105263157894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8.75" customHeight="1" x14ac:dyDescent="0.3">
      <c r="A17" s="2">
        <f>A16+3</f>
        <v>15</v>
      </c>
      <c r="B17" s="3" t="s">
        <v>33</v>
      </c>
      <c r="C17" s="3" t="s">
        <v>21</v>
      </c>
      <c r="D17" s="3">
        <v>89</v>
      </c>
      <c r="E17" s="3">
        <v>114</v>
      </c>
      <c r="F17" s="3">
        <v>38</v>
      </c>
      <c r="G17" s="3" t="s">
        <v>15</v>
      </c>
      <c r="H17" s="5">
        <f>D17/F17</f>
        <v>2.3421052631578947</v>
      </c>
      <c r="I17" s="1"/>
      <c r="J17" s="1"/>
      <c r="K17" s="2">
        <f>K16</f>
        <v>14</v>
      </c>
      <c r="L17" s="3" t="s">
        <v>52</v>
      </c>
      <c r="M17" s="3" t="s">
        <v>107</v>
      </c>
      <c r="N17" s="3">
        <v>70</v>
      </c>
      <c r="O17" s="3">
        <v>22</v>
      </c>
      <c r="P17" s="3" t="s">
        <v>18</v>
      </c>
      <c r="Q17" s="5">
        <f t="shared" si="0"/>
        <v>3.1818181818181817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8.75" customHeight="1" x14ac:dyDescent="0.3">
      <c r="A18" s="2">
        <f>A17</f>
        <v>15</v>
      </c>
      <c r="B18" s="3" t="s">
        <v>34</v>
      </c>
      <c r="C18" s="3" t="s">
        <v>35</v>
      </c>
      <c r="D18" s="3">
        <v>89</v>
      </c>
      <c r="E18" s="3">
        <v>114</v>
      </c>
      <c r="F18" s="3">
        <v>38</v>
      </c>
      <c r="G18" s="3" t="s">
        <v>15</v>
      </c>
      <c r="H18" s="5">
        <f>D18/F18</f>
        <v>2.3421052631578947</v>
      </c>
      <c r="I18" s="1"/>
      <c r="J18" s="1"/>
      <c r="K18" s="2">
        <f>K17</f>
        <v>14</v>
      </c>
      <c r="L18" s="3" t="s">
        <v>108</v>
      </c>
      <c r="M18" s="3" t="s">
        <v>107</v>
      </c>
      <c r="N18" s="3">
        <v>70</v>
      </c>
      <c r="O18" s="3">
        <v>22</v>
      </c>
      <c r="P18" s="3" t="s">
        <v>109</v>
      </c>
      <c r="Q18" s="5">
        <f t="shared" si="0"/>
        <v>3.1818181818181817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8.75" customHeight="1" x14ac:dyDescent="0.3">
      <c r="A19" s="2">
        <f>A18+2</f>
        <v>17</v>
      </c>
      <c r="B19" s="7" t="s">
        <v>55</v>
      </c>
      <c r="C19" s="7" t="s">
        <v>110</v>
      </c>
      <c r="D19" s="7">
        <v>59</v>
      </c>
      <c r="E19" s="7" t="s">
        <v>111</v>
      </c>
      <c r="F19" s="7">
        <v>38</v>
      </c>
      <c r="G19" s="7" t="s">
        <v>15</v>
      </c>
      <c r="H19" s="8">
        <f>(D19/76)*3</f>
        <v>2.3289473684210527</v>
      </c>
      <c r="I19" s="1"/>
      <c r="J19" s="1"/>
      <c r="K19" s="2">
        <f>K18+3</f>
        <v>17</v>
      </c>
      <c r="L19" s="3" t="s">
        <v>112</v>
      </c>
      <c r="M19" s="3" t="s">
        <v>106</v>
      </c>
      <c r="N19" s="3">
        <v>94</v>
      </c>
      <c r="O19" s="3">
        <v>30</v>
      </c>
      <c r="P19" s="3" t="s">
        <v>18</v>
      </c>
      <c r="Q19" s="5">
        <f t="shared" si="0"/>
        <v>3.1333333333333333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8.75" customHeight="1" x14ac:dyDescent="0.3">
      <c r="A20" s="2">
        <f>A19+1</f>
        <v>18</v>
      </c>
      <c r="B20" s="7" t="s">
        <v>36</v>
      </c>
      <c r="C20" s="7" t="s">
        <v>37</v>
      </c>
      <c r="D20" s="7">
        <v>88</v>
      </c>
      <c r="E20" s="7">
        <v>114</v>
      </c>
      <c r="F20" s="7">
        <v>38</v>
      </c>
      <c r="G20" s="7" t="s">
        <v>38</v>
      </c>
      <c r="H20" s="8">
        <f>D20/F20</f>
        <v>2.3157894736842106</v>
      </c>
      <c r="I20" s="1"/>
      <c r="J20" s="1"/>
      <c r="K20" s="2">
        <f>K19</f>
        <v>17</v>
      </c>
      <c r="L20" s="7" t="s">
        <v>64</v>
      </c>
      <c r="M20" s="3" t="s">
        <v>113</v>
      </c>
      <c r="N20" s="3">
        <v>125</v>
      </c>
      <c r="O20" s="7">
        <v>40</v>
      </c>
      <c r="P20" s="7" t="s">
        <v>18</v>
      </c>
      <c r="Q20" s="8">
        <f t="shared" si="0"/>
        <v>3.125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8.75" customHeight="1" x14ac:dyDescent="0.3">
      <c r="A21" s="2">
        <f>A20+1</f>
        <v>19</v>
      </c>
      <c r="B21" s="3" t="s">
        <v>19</v>
      </c>
      <c r="C21" s="3" t="s">
        <v>68</v>
      </c>
      <c r="D21" s="3">
        <v>46</v>
      </c>
      <c r="E21" s="3" t="s">
        <v>66</v>
      </c>
      <c r="F21" s="3">
        <v>30</v>
      </c>
      <c r="G21" s="3" t="s">
        <v>15</v>
      </c>
      <c r="H21" s="5">
        <f>(D21/60)*3</f>
        <v>2.3000000000000003</v>
      </c>
      <c r="I21" s="1"/>
      <c r="J21" s="1"/>
      <c r="K21" s="2">
        <f>K20+2</f>
        <v>19</v>
      </c>
      <c r="L21" s="7" t="s">
        <v>79</v>
      </c>
      <c r="M21" s="3" t="s">
        <v>114</v>
      </c>
      <c r="N21" s="3">
        <v>118</v>
      </c>
      <c r="O21" s="7">
        <v>38</v>
      </c>
      <c r="P21" s="3" t="s">
        <v>15</v>
      </c>
      <c r="Q21" s="8">
        <f t="shared" si="0"/>
        <v>3.1052631578947367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8.75" customHeight="1" x14ac:dyDescent="0.3">
      <c r="A22" s="2">
        <f>A21+1</f>
        <v>20</v>
      </c>
      <c r="B22" s="3" t="s">
        <v>39</v>
      </c>
      <c r="C22" s="3" t="s">
        <v>30</v>
      </c>
      <c r="D22" s="3">
        <v>78</v>
      </c>
      <c r="E22" s="3">
        <v>102</v>
      </c>
      <c r="F22" s="3">
        <v>34</v>
      </c>
      <c r="G22" s="3" t="s">
        <v>15</v>
      </c>
      <c r="H22" s="5">
        <f>D22/F22</f>
        <v>2.2941176470588234</v>
      </c>
      <c r="I22" s="1"/>
      <c r="J22" s="1"/>
      <c r="K22" s="2">
        <f>K23</f>
        <v>19</v>
      </c>
      <c r="L22" s="3" t="s">
        <v>19</v>
      </c>
      <c r="M22" s="3" t="s">
        <v>23</v>
      </c>
      <c r="N22" s="3">
        <v>118</v>
      </c>
      <c r="O22" s="3">
        <v>38</v>
      </c>
      <c r="P22" s="3" t="s">
        <v>15</v>
      </c>
      <c r="Q22" s="5">
        <f t="shared" si="0"/>
        <v>3.1052631578947367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8.75" customHeight="1" x14ac:dyDescent="0.3">
      <c r="A23" s="2">
        <f>A22</f>
        <v>20</v>
      </c>
      <c r="B23" s="3" t="s">
        <v>115</v>
      </c>
      <c r="C23" s="3" t="s">
        <v>116</v>
      </c>
      <c r="D23" s="3">
        <v>64</v>
      </c>
      <c r="E23" s="3" t="s">
        <v>117</v>
      </c>
      <c r="F23" s="3">
        <v>42</v>
      </c>
      <c r="G23" s="3" t="s">
        <v>15</v>
      </c>
      <c r="H23" s="5">
        <f>(D23/84)*3</f>
        <v>2.2857142857142856</v>
      </c>
      <c r="I23" s="1"/>
      <c r="J23" s="1"/>
      <c r="K23" s="2">
        <f>K21</f>
        <v>19</v>
      </c>
      <c r="L23" s="3" t="s">
        <v>67</v>
      </c>
      <c r="M23" s="3" t="s">
        <v>68</v>
      </c>
      <c r="N23" s="3">
        <v>118</v>
      </c>
      <c r="O23" s="3">
        <v>38</v>
      </c>
      <c r="P23" s="3" t="s">
        <v>44</v>
      </c>
      <c r="Q23" s="5">
        <f t="shared" si="0"/>
        <v>3.1052631578947367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8.75" customHeight="1" x14ac:dyDescent="0.3">
      <c r="I24" s="1"/>
      <c r="J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8.75" customHeight="1" x14ac:dyDescent="0.3">
      <c r="I25" s="1"/>
      <c r="J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8.75" customHeight="1" x14ac:dyDescent="0.3">
      <c r="A26" s="22" t="s">
        <v>118</v>
      </c>
      <c r="B26" s="15"/>
      <c r="C26" s="15"/>
      <c r="D26" s="15"/>
      <c r="E26" s="15"/>
      <c r="F26" s="15"/>
      <c r="G26" s="15"/>
      <c r="H26" s="15"/>
      <c r="I26" s="1"/>
      <c r="J26" s="1"/>
      <c r="K26" s="22" t="s">
        <v>119</v>
      </c>
      <c r="L26" s="15"/>
      <c r="M26" s="15"/>
      <c r="N26" s="15"/>
      <c r="O26" s="15"/>
      <c r="P26" s="15"/>
      <c r="Q26" s="15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8.75" customHeight="1" x14ac:dyDescent="0.3">
      <c r="A27" s="2" t="s">
        <v>4</v>
      </c>
      <c r="B27" s="2" t="s">
        <v>5</v>
      </c>
      <c r="C27" s="2" t="s">
        <v>6</v>
      </c>
      <c r="D27" s="2" t="s">
        <v>7</v>
      </c>
      <c r="E27" s="2" t="s">
        <v>62</v>
      </c>
      <c r="F27" s="2" t="s">
        <v>8</v>
      </c>
      <c r="G27" s="2" t="s">
        <v>9</v>
      </c>
      <c r="H27" s="2" t="s">
        <v>366</v>
      </c>
      <c r="I27" s="1"/>
      <c r="J27" s="1"/>
      <c r="K27" s="2" t="s">
        <v>4</v>
      </c>
      <c r="L27" s="2" t="s">
        <v>5</v>
      </c>
      <c r="M27" s="2" t="s">
        <v>6</v>
      </c>
      <c r="N27" s="2" t="s">
        <v>201</v>
      </c>
      <c r="O27" s="2" t="s">
        <v>8</v>
      </c>
      <c r="P27" s="2" t="s">
        <v>9</v>
      </c>
      <c r="Q27" s="2" t="s">
        <v>202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8.75" customHeight="1" x14ac:dyDescent="0.3">
      <c r="A28" s="2">
        <v>1</v>
      </c>
      <c r="B28" s="3" t="s">
        <v>100</v>
      </c>
      <c r="C28" s="3" t="s">
        <v>101</v>
      </c>
      <c r="D28" s="3">
        <v>40</v>
      </c>
      <c r="E28" s="3" t="s">
        <v>120</v>
      </c>
      <c r="F28" s="3">
        <v>22</v>
      </c>
      <c r="G28" s="3" t="s">
        <v>18</v>
      </c>
      <c r="H28" s="5">
        <f>(D28/44)*3</f>
        <v>2.7272727272727271</v>
      </c>
      <c r="I28" s="1"/>
      <c r="J28" s="1"/>
      <c r="K28" s="2">
        <v>1</v>
      </c>
      <c r="L28" s="3" t="s">
        <v>76</v>
      </c>
      <c r="M28" s="3" t="s">
        <v>77</v>
      </c>
      <c r="N28" s="3">
        <v>11</v>
      </c>
      <c r="O28" s="3">
        <v>30</v>
      </c>
      <c r="P28" s="3" t="s">
        <v>18</v>
      </c>
      <c r="Q28" s="8">
        <f t="shared" ref="Q28:Q48" si="2">N28/O28</f>
        <v>0.36666666666666664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8.75" customHeight="1" x14ac:dyDescent="0.3">
      <c r="A29" s="2">
        <f>A28+1</f>
        <v>2</v>
      </c>
      <c r="B29" s="7" t="s">
        <v>367</v>
      </c>
      <c r="C29" s="7" t="s">
        <v>40</v>
      </c>
      <c r="D29" s="7">
        <v>102</v>
      </c>
      <c r="E29" s="7">
        <v>114</v>
      </c>
      <c r="F29" s="7">
        <v>38</v>
      </c>
      <c r="G29" s="7" t="s">
        <v>18</v>
      </c>
      <c r="H29" s="8">
        <f t="shared" ref="H29:H38" si="3">D29/F29</f>
        <v>2.6842105263157894</v>
      </c>
      <c r="I29" s="1"/>
      <c r="J29" s="1"/>
      <c r="K29" s="2">
        <f t="shared" ref="K29:K34" si="4">K28+1</f>
        <v>2</v>
      </c>
      <c r="L29" s="3" t="s">
        <v>13</v>
      </c>
      <c r="M29" s="3" t="s">
        <v>78</v>
      </c>
      <c r="N29" s="3">
        <v>16</v>
      </c>
      <c r="O29" s="3">
        <v>42</v>
      </c>
      <c r="P29" s="3" t="s">
        <v>18</v>
      </c>
      <c r="Q29" s="5">
        <f t="shared" si="2"/>
        <v>0.38095238095238093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8.75" customHeight="1" x14ac:dyDescent="0.3">
      <c r="A30" s="2">
        <f>A29</f>
        <v>2</v>
      </c>
      <c r="B30" s="3" t="s">
        <v>16</v>
      </c>
      <c r="C30" s="3" t="s">
        <v>27</v>
      </c>
      <c r="D30" s="3">
        <v>91</v>
      </c>
      <c r="E30" s="3">
        <v>102</v>
      </c>
      <c r="F30" s="3">
        <v>34</v>
      </c>
      <c r="G30" s="3" t="s">
        <v>18</v>
      </c>
      <c r="H30" s="5">
        <f t="shared" si="3"/>
        <v>2.6764705882352939</v>
      </c>
      <c r="I30" s="1"/>
      <c r="J30" s="1"/>
      <c r="K30" s="2">
        <f t="shared" si="4"/>
        <v>3</v>
      </c>
      <c r="L30" s="3" t="s">
        <v>48</v>
      </c>
      <c r="M30" s="3" t="s">
        <v>49</v>
      </c>
      <c r="N30" s="3">
        <v>15</v>
      </c>
      <c r="O30" s="3">
        <v>38</v>
      </c>
      <c r="P30" s="3" t="s">
        <v>18</v>
      </c>
      <c r="Q30" s="5">
        <f t="shared" si="2"/>
        <v>0.39473684210526316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8.75" customHeight="1" x14ac:dyDescent="0.3">
      <c r="A31" s="2">
        <f>A30+2</f>
        <v>4</v>
      </c>
      <c r="B31" s="3" t="s">
        <v>51</v>
      </c>
      <c r="C31" s="3" t="s">
        <v>35</v>
      </c>
      <c r="D31" s="3">
        <v>90</v>
      </c>
      <c r="E31" s="3">
        <v>102</v>
      </c>
      <c r="F31" s="3">
        <v>34</v>
      </c>
      <c r="G31" s="3" t="s">
        <v>18</v>
      </c>
      <c r="H31" s="5">
        <f t="shared" si="3"/>
        <v>2.6470588235294117</v>
      </c>
      <c r="I31" s="1"/>
      <c r="J31" s="1"/>
      <c r="K31" s="2">
        <f t="shared" si="4"/>
        <v>4</v>
      </c>
      <c r="L31" s="3" t="s">
        <v>79</v>
      </c>
      <c r="M31" s="3" t="s">
        <v>80</v>
      </c>
      <c r="N31" s="3">
        <v>12</v>
      </c>
      <c r="O31" s="3">
        <v>30</v>
      </c>
      <c r="P31" s="3" t="s">
        <v>44</v>
      </c>
      <c r="Q31" s="8">
        <f t="shared" si="2"/>
        <v>0.4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8.75" customHeight="1" x14ac:dyDescent="0.3">
      <c r="A32" s="2">
        <f>A31</f>
        <v>4</v>
      </c>
      <c r="B32" s="3" t="s">
        <v>16</v>
      </c>
      <c r="C32" s="3" t="s">
        <v>40</v>
      </c>
      <c r="D32" s="3">
        <v>90</v>
      </c>
      <c r="E32" s="3">
        <v>102</v>
      </c>
      <c r="F32" s="3">
        <v>34</v>
      </c>
      <c r="G32" s="3" t="s">
        <v>18</v>
      </c>
      <c r="H32" s="5">
        <f t="shared" si="3"/>
        <v>2.6470588235294117</v>
      </c>
      <c r="I32" s="1"/>
      <c r="J32" s="1"/>
      <c r="K32" s="2">
        <f t="shared" si="4"/>
        <v>5</v>
      </c>
      <c r="L32" s="3" t="s">
        <v>79</v>
      </c>
      <c r="M32" s="3" t="s">
        <v>81</v>
      </c>
      <c r="N32" s="3">
        <v>15</v>
      </c>
      <c r="O32" s="3">
        <v>34</v>
      </c>
      <c r="P32" s="3" t="s">
        <v>18</v>
      </c>
      <c r="Q32" s="8">
        <f t="shared" si="2"/>
        <v>0.44117647058823528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8.75" customHeight="1" x14ac:dyDescent="0.3">
      <c r="A33" s="2">
        <f>A32+2</f>
        <v>6</v>
      </c>
      <c r="B33" s="3" t="s">
        <v>53</v>
      </c>
      <c r="C33" s="3" t="s">
        <v>29</v>
      </c>
      <c r="D33" s="3">
        <v>100</v>
      </c>
      <c r="E33" s="3">
        <v>114</v>
      </c>
      <c r="F33" s="3">
        <v>38</v>
      </c>
      <c r="G33" s="3" t="s">
        <v>18</v>
      </c>
      <c r="H33" s="5">
        <f t="shared" si="3"/>
        <v>2.6315789473684212</v>
      </c>
      <c r="I33" s="1"/>
      <c r="J33" s="1"/>
      <c r="K33" s="2">
        <f t="shared" si="4"/>
        <v>6</v>
      </c>
      <c r="L33" s="3" t="s">
        <v>34</v>
      </c>
      <c r="M33" s="3" t="s">
        <v>50</v>
      </c>
      <c r="N33" s="3">
        <v>17</v>
      </c>
      <c r="O33" s="3">
        <v>38</v>
      </c>
      <c r="P33" s="3" t="s">
        <v>15</v>
      </c>
      <c r="Q33" s="5">
        <f t="shared" si="2"/>
        <v>0.44736842105263158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8.75" customHeight="1" x14ac:dyDescent="0.3">
      <c r="A34" s="2">
        <f>A33</f>
        <v>6</v>
      </c>
      <c r="B34" s="3" t="s">
        <v>24</v>
      </c>
      <c r="C34" s="3" t="s">
        <v>27</v>
      </c>
      <c r="D34" s="3">
        <v>100</v>
      </c>
      <c r="E34" s="3">
        <v>114</v>
      </c>
      <c r="F34" s="3">
        <v>38</v>
      </c>
      <c r="G34" s="3" t="s">
        <v>18</v>
      </c>
      <c r="H34" s="5">
        <f t="shared" si="3"/>
        <v>2.6315789473684212</v>
      </c>
      <c r="I34" s="1"/>
      <c r="J34" s="1"/>
      <c r="K34" s="2">
        <f t="shared" si="4"/>
        <v>7</v>
      </c>
      <c r="L34" s="3" t="s">
        <v>79</v>
      </c>
      <c r="M34" s="3" t="s">
        <v>82</v>
      </c>
      <c r="N34" s="3">
        <v>14</v>
      </c>
      <c r="O34" s="3">
        <v>30</v>
      </c>
      <c r="P34" s="3" t="s">
        <v>18</v>
      </c>
      <c r="Q34" s="8">
        <f t="shared" si="2"/>
        <v>0.46666666666666667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8.75" customHeight="1" x14ac:dyDescent="0.3">
      <c r="A35" s="2">
        <f>A34</f>
        <v>6</v>
      </c>
      <c r="B35" s="3" t="s">
        <v>19</v>
      </c>
      <c r="C35" s="3" t="s">
        <v>21</v>
      </c>
      <c r="D35" s="3">
        <v>100</v>
      </c>
      <c r="E35" s="3">
        <v>114</v>
      </c>
      <c r="F35" s="3">
        <v>38</v>
      </c>
      <c r="G35" s="3" t="s">
        <v>18</v>
      </c>
      <c r="H35" s="5">
        <f t="shared" si="3"/>
        <v>2.6315789473684212</v>
      </c>
      <c r="I35" s="1"/>
      <c r="J35" s="1"/>
      <c r="K35" s="2">
        <f>K34</f>
        <v>7</v>
      </c>
      <c r="L35" s="7" t="s">
        <v>367</v>
      </c>
      <c r="M35" s="3" t="s">
        <v>83</v>
      </c>
      <c r="N35" s="3">
        <v>14</v>
      </c>
      <c r="O35" s="3">
        <v>30</v>
      </c>
      <c r="P35" s="3" t="s">
        <v>18</v>
      </c>
      <c r="Q35" s="8">
        <f t="shared" si="2"/>
        <v>0.46666666666666667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8.75" customHeight="1" x14ac:dyDescent="0.3">
      <c r="A36" s="2">
        <f>A35+3</f>
        <v>9</v>
      </c>
      <c r="B36" s="3" t="s">
        <v>16</v>
      </c>
      <c r="C36" s="3" t="s">
        <v>17</v>
      </c>
      <c r="D36" s="3">
        <v>89</v>
      </c>
      <c r="E36" s="3">
        <v>102</v>
      </c>
      <c r="F36" s="3">
        <v>34</v>
      </c>
      <c r="G36" s="3" t="s">
        <v>18</v>
      </c>
      <c r="H36" s="5">
        <f t="shared" si="3"/>
        <v>2.6176470588235294</v>
      </c>
      <c r="I36" s="1"/>
      <c r="J36" s="1"/>
      <c r="K36" s="2">
        <f>K35</f>
        <v>7</v>
      </c>
      <c r="L36" s="7" t="s">
        <v>64</v>
      </c>
      <c r="M36" s="3" t="s">
        <v>65</v>
      </c>
      <c r="N36" s="3">
        <v>14</v>
      </c>
      <c r="O36" s="3">
        <v>30</v>
      </c>
      <c r="P36" s="3" t="s">
        <v>15</v>
      </c>
      <c r="Q36" s="8">
        <f t="shared" si="2"/>
        <v>0.46666666666666667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8.75" customHeight="1" x14ac:dyDescent="0.3">
      <c r="A37" s="2">
        <f>A36+1</f>
        <v>10</v>
      </c>
      <c r="B37" s="3" t="s">
        <v>13</v>
      </c>
      <c r="C37" s="3" t="s">
        <v>31</v>
      </c>
      <c r="D37" s="3">
        <v>99</v>
      </c>
      <c r="E37" s="3">
        <v>114</v>
      </c>
      <c r="F37" s="3">
        <v>38</v>
      </c>
      <c r="G37" s="3" t="s">
        <v>18</v>
      </c>
      <c r="H37" s="5">
        <f t="shared" si="3"/>
        <v>2.6052631578947367</v>
      </c>
      <c r="I37" s="1"/>
      <c r="J37" s="1"/>
      <c r="K37" s="2">
        <f>K36</f>
        <v>7</v>
      </c>
      <c r="L37" s="3" t="s">
        <v>34</v>
      </c>
      <c r="M37" s="3" t="s">
        <v>84</v>
      </c>
      <c r="N37" s="3">
        <v>18</v>
      </c>
      <c r="O37" s="3">
        <v>38</v>
      </c>
      <c r="P37" s="3" t="s">
        <v>18</v>
      </c>
      <c r="Q37" s="5">
        <f t="shared" si="2"/>
        <v>0.47368421052631576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8.75" customHeight="1" x14ac:dyDescent="0.3">
      <c r="A38" s="2">
        <f>A37</f>
        <v>10</v>
      </c>
      <c r="B38" s="3" t="s">
        <v>24</v>
      </c>
      <c r="C38" s="3" t="s">
        <v>20</v>
      </c>
      <c r="D38" s="3">
        <v>99</v>
      </c>
      <c r="E38" s="3">
        <v>114</v>
      </c>
      <c r="F38" s="3">
        <v>38</v>
      </c>
      <c r="G38" s="3" t="s">
        <v>18</v>
      </c>
      <c r="H38" s="5">
        <f t="shared" si="3"/>
        <v>2.6052631578947367</v>
      </c>
      <c r="I38" s="1"/>
      <c r="J38" s="1"/>
      <c r="K38" s="2">
        <f>K37</f>
        <v>7</v>
      </c>
      <c r="L38" s="3" t="s">
        <v>369</v>
      </c>
      <c r="M38" s="3" t="s">
        <v>81</v>
      </c>
      <c r="N38" s="3">
        <v>18</v>
      </c>
      <c r="O38" s="3">
        <v>38</v>
      </c>
      <c r="P38" s="3" t="s">
        <v>15</v>
      </c>
      <c r="Q38" s="5">
        <f t="shared" si="2"/>
        <v>0.47368421052631576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8.75" customHeight="1" x14ac:dyDescent="0.3">
      <c r="A39" s="2">
        <f>A38+2</f>
        <v>12</v>
      </c>
      <c r="B39" s="3" t="s">
        <v>19</v>
      </c>
      <c r="C39" s="3" t="s">
        <v>72</v>
      </c>
      <c r="D39" s="3">
        <v>52</v>
      </c>
      <c r="E39" s="3" t="s">
        <v>66</v>
      </c>
      <c r="F39" s="3">
        <v>30</v>
      </c>
      <c r="G39" s="3" t="s">
        <v>18</v>
      </c>
      <c r="H39" s="5">
        <f>(D39/60)*3</f>
        <v>2.6</v>
      </c>
      <c r="I39" s="1"/>
      <c r="J39" s="1"/>
      <c r="K39" s="2">
        <f>K38</f>
        <v>7</v>
      </c>
      <c r="L39" s="3" t="s">
        <v>52</v>
      </c>
      <c r="M39" s="3" t="s">
        <v>30</v>
      </c>
      <c r="N39" s="3">
        <v>18</v>
      </c>
      <c r="O39" s="3">
        <v>38</v>
      </c>
      <c r="P39" s="3" t="s">
        <v>44</v>
      </c>
      <c r="Q39" s="5">
        <f t="shared" si="2"/>
        <v>0.47368421052631576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8.75" customHeight="1" x14ac:dyDescent="0.3">
      <c r="A40" s="2">
        <f>A39+1</f>
        <v>13</v>
      </c>
      <c r="B40" s="3" t="s">
        <v>16</v>
      </c>
      <c r="C40" s="3" t="s">
        <v>30</v>
      </c>
      <c r="D40" s="3">
        <v>88</v>
      </c>
      <c r="E40" s="3">
        <v>102</v>
      </c>
      <c r="F40" s="3">
        <v>34</v>
      </c>
      <c r="G40" s="3" t="s">
        <v>18</v>
      </c>
      <c r="H40" s="5">
        <f>D40/F40</f>
        <v>2.5882352941176472</v>
      </c>
      <c r="I40" s="1"/>
      <c r="J40" s="1"/>
      <c r="K40" s="2">
        <f>K39+6</f>
        <v>13</v>
      </c>
      <c r="L40" s="7" t="s">
        <v>47</v>
      </c>
      <c r="M40" s="3" t="s">
        <v>86</v>
      </c>
      <c r="N40" s="3">
        <v>15</v>
      </c>
      <c r="O40" s="3">
        <v>30</v>
      </c>
      <c r="P40" s="3" t="s">
        <v>18</v>
      </c>
      <c r="Q40" s="8">
        <f t="shared" si="2"/>
        <v>0.5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8.75" customHeight="1" x14ac:dyDescent="0.3">
      <c r="A41" s="2">
        <f>A40+1</f>
        <v>14</v>
      </c>
      <c r="B41" s="3" t="s">
        <v>53</v>
      </c>
      <c r="C41" s="3" t="s">
        <v>14</v>
      </c>
      <c r="D41" s="3">
        <v>98</v>
      </c>
      <c r="E41" s="3">
        <v>114</v>
      </c>
      <c r="F41" s="3">
        <v>38</v>
      </c>
      <c r="G41" s="3" t="s">
        <v>18</v>
      </c>
      <c r="H41" s="5">
        <f>D41/F41</f>
        <v>2.5789473684210527</v>
      </c>
      <c r="I41" s="1"/>
      <c r="J41" s="1"/>
      <c r="K41" s="2">
        <f>K45</f>
        <v>13</v>
      </c>
      <c r="L41" s="3" t="s">
        <v>41</v>
      </c>
      <c r="M41" s="3" t="s">
        <v>30</v>
      </c>
      <c r="N41" s="3">
        <v>19</v>
      </c>
      <c r="O41" s="3">
        <v>38</v>
      </c>
      <c r="P41" s="3" t="s">
        <v>18</v>
      </c>
      <c r="Q41" s="5">
        <f t="shared" si="2"/>
        <v>0.5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8.75" customHeight="1" x14ac:dyDescent="0.3">
      <c r="A42" s="2">
        <f>A41+1</f>
        <v>15</v>
      </c>
      <c r="B42" s="7" t="s">
        <v>55</v>
      </c>
      <c r="C42" s="7" t="s">
        <v>85</v>
      </c>
      <c r="D42" s="7">
        <v>58</v>
      </c>
      <c r="E42" s="7" t="s">
        <v>70</v>
      </c>
      <c r="F42" s="7">
        <v>34</v>
      </c>
      <c r="G42" s="7" t="s">
        <v>18</v>
      </c>
      <c r="H42" s="8">
        <f>(D42/68)*3</f>
        <v>2.5588235294117645</v>
      </c>
      <c r="I42" s="1"/>
      <c r="J42" s="1"/>
      <c r="K42" s="2">
        <f>K41</f>
        <v>13</v>
      </c>
      <c r="L42" s="3" t="s">
        <v>16</v>
      </c>
      <c r="M42" s="3" t="s">
        <v>30</v>
      </c>
      <c r="N42" s="3">
        <v>17</v>
      </c>
      <c r="O42" s="3">
        <v>34</v>
      </c>
      <c r="P42" s="3" t="s">
        <v>18</v>
      </c>
      <c r="Q42" s="5">
        <f t="shared" si="2"/>
        <v>0.5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8.75" customHeight="1" x14ac:dyDescent="0.3">
      <c r="A43" s="2">
        <f>A45</f>
        <v>16</v>
      </c>
      <c r="B43" s="3" t="s">
        <v>24</v>
      </c>
      <c r="C43" s="3" t="s">
        <v>63</v>
      </c>
      <c r="D43" s="3">
        <v>51</v>
      </c>
      <c r="E43" s="3" t="s">
        <v>66</v>
      </c>
      <c r="F43" s="3">
        <v>30</v>
      </c>
      <c r="G43" s="3" t="s">
        <v>18</v>
      </c>
      <c r="H43" s="5">
        <f>(D43/60)*3</f>
        <v>2.5499999999999998</v>
      </c>
      <c r="I43" s="1"/>
      <c r="J43" s="1"/>
      <c r="K43" s="2">
        <f>K44</f>
        <v>13</v>
      </c>
      <c r="L43" s="7" t="s">
        <v>64</v>
      </c>
      <c r="M43" s="3" t="s">
        <v>121</v>
      </c>
      <c r="N43" s="3">
        <v>15</v>
      </c>
      <c r="O43" s="3">
        <v>30</v>
      </c>
      <c r="P43" s="3" t="s">
        <v>44</v>
      </c>
      <c r="Q43" s="8">
        <f t="shared" si="2"/>
        <v>0.5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8.75" customHeight="1" x14ac:dyDescent="0.3">
      <c r="A44" s="2">
        <f>A46</f>
        <v>16</v>
      </c>
      <c r="B44" s="7" t="s">
        <v>55</v>
      </c>
      <c r="C44" s="7" t="s">
        <v>56</v>
      </c>
      <c r="D44" s="7">
        <v>97</v>
      </c>
      <c r="E44" s="7">
        <v>114</v>
      </c>
      <c r="F44" s="7">
        <v>38</v>
      </c>
      <c r="G44" s="7" t="s">
        <v>18</v>
      </c>
      <c r="H44" s="8">
        <f>D44/F44</f>
        <v>2.5526315789473686</v>
      </c>
      <c r="K44" s="2">
        <f>K40</f>
        <v>13</v>
      </c>
      <c r="L44" s="7" t="s">
        <v>42</v>
      </c>
      <c r="M44" s="3" t="s">
        <v>122</v>
      </c>
      <c r="N44" s="3">
        <v>15</v>
      </c>
      <c r="O44" s="3">
        <v>30</v>
      </c>
      <c r="P44" s="3" t="s">
        <v>44</v>
      </c>
      <c r="Q44" s="8">
        <f t="shared" si="2"/>
        <v>0.5</v>
      </c>
    </row>
    <row r="45" spans="1:31" ht="18.75" customHeight="1" x14ac:dyDescent="0.3">
      <c r="A45" s="2">
        <f>A44</f>
        <v>16</v>
      </c>
      <c r="B45" s="7" t="s">
        <v>367</v>
      </c>
      <c r="C45" s="7" t="s">
        <v>65</v>
      </c>
      <c r="D45" s="7">
        <v>51</v>
      </c>
      <c r="E45" s="7" t="s">
        <v>66</v>
      </c>
      <c r="F45" s="7">
        <v>30</v>
      </c>
      <c r="G45" s="7" t="s">
        <v>18</v>
      </c>
      <c r="H45" s="8">
        <f>(D45/60)*3</f>
        <v>2.5499999999999998</v>
      </c>
      <c r="K45" s="2">
        <f>K43</f>
        <v>13</v>
      </c>
      <c r="L45" s="7" t="s">
        <v>76</v>
      </c>
      <c r="M45" s="3" t="s">
        <v>123</v>
      </c>
      <c r="N45" s="3">
        <v>17</v>
      </c>
      <c r="O45" s="3">
        <v>34</v>
      </c>
      <c r="P45" s="3" t="s">
        <v>124</v>
      </c>
      <c r="Q45" s="8">
        <f t="shared" si="2"/>
        <v>0.5</v>
      </c>
    </row>
    <row r="46" spans="1:31" ht="18.75" customHeight="1" x14ac:dyDescent="0.3">
      <c r="A46" s="2">
        <f>A42+1</f>
        <v>16</v>
      </c>
      <c r="B46" s="3" t="s">
        <v>13</v>
      </c>
      <c r="C46" s="3" t="s">
        <v>14</v>
      </c>
      <c r="D46" s="3">
        <v>97</v>
      </c>
      <c r="E46" s="3">
        <v>114</v>
      </c>
      <c r="F46" s="3">
        <v>38</v>
      </c>
      <c r="G46" s="3" t="s">
        <v>15</v>
      </c>
      <c r="H46" s="5">
        <f>D46/F46</f>
        <v>2.5526315789473686</v>
      </c>
      <c r="K46" s="2">
        <f>K42+6</f>
        <v>19</v>
      </c>
      <c r="L46" s="3" t="s">
        <v>24</v>
      </c>
      <c r="M46" s="3" t="s">
        <v>54</v>
      </c>
      <c r="N46" s="3">
        <v>20</v>
      </c>
      <c r="O46" s="3">
        <v>38</v>
      </c>
      <c r="P46" s="3" t="s">
        <v>18</v>
      </c>
      <c r="Q46" s="5">
        <f t="shared" si="2"/>
        <v>0.52631578947368418</v>
      </c>
    </row>
    <row r="47" spans="1:31" ht="18.75" customHeight="1" x14ac:dyDescent="0.3">
      <c r="A47" s="2">
        <f>A43+4</f>
        <v>20</v>
      </c>
      <c r="B47" s="3" t="s">
        <v>41</v>
      </c>
      <c r="C47" s="3" t="s">
        <v>30</v>
      </c>
      <c r="D47" s="3">
        <v>96</v>
      </c>
      <c r="E47" s="3">
        <v>114</v>
      </c>
      <c r="F47" s="3">
        <v>38</v>
      </c>
      <c r="G47" s="3" t="s">
        <v>18</v>
      </c>
      <c r="H47" s="5">
        <f>D47/F47</f>
        <v>2.5263157894736841</v>
      </c>
      <c r="K47" s="2">
        <f>K46</f>
        <v>19</v>
      </c>
      <c r="L47" s="7" t="s">
        <v>367</v>
      </c>
      <c r="M47" s="7" t="s">
        <v>21</v>
      </c>
      <c r="N47" s="7">
        <v>20</v>
      </c>
      <c r="O47" s="7">
        <v>38</v>
      </c>
      <c r="P47" s="7" t="s">
        <v>18</v>
      </c>
      <c r="Q47" s="8">
        <f t="shared" si="2"/>
        <v>0.52631578947368418</v>
      </c>
    </row>
    <row r="48" spans="1:31" ht="18.75" customHeight="1" x14ac:dyDescent="0.3">
      <c r="A48" s="2">
        <f>A47</f>
        <v>20</v>
      </c>
      <c r="B48" s="3" t="s">
        <v>24</v>
      </c>
      <c r="C48" s="3" t="s">
        <v>22</v>
      </c>
      <c r="D48" s="3">
        <v>96</v>
      </c>
      <c r="E48" s="3">
        <v>114</v>
      </c>
      <c r="F48" s="3">
        <v>38</v>
      </c>
      <c r="G48" s="3" t="s">
        <v>18</v>
      </c>
      <c r="H48" s="5">
        <f>D48/F48</f>
        <v>2.5263157894736841</v>
      </c>
      <c r="K48" s="2">
        <f>K47</f>
        <v>19</v>
      </c>
      <c r="L48" s="7" t="s">
        <v>367</v>
      </c>
      <c r="M48" s="7" t="s">
        <v>30</v>
      </c>
      <c r="N48" s="7">
        <v>20</v>
      </c>
      <c r="O48" s="7">
        <v>38</v>
      </c>
      <c r="P48" s="7" t="s">
        <v>18</v>
      </c>
      <c r="Q48" s="8">
        <f t="shared" si="2"/>
        <v>0.52631578947368418</v>
      </c>
    </row>
    <row r="49" spans="1:8" ht="18.75" customHeight="1" x14ac:dyDescent="0.3">
      <c r="A49" s="2">
        <f>A48</f>
        <v>20</v>
      </c>
      <c r="B49" s="3" t="s">
        <v>19</v>
      </c>
      <c r="C49" s="3" t="s">
        <v>20</v>
      </c>
      <c r="D49" s="3">
        <v>96</v>
      </c>
      <c r="E49" s="3">
        <v>114</v>
      </c>
      <c r="F49" s="3">
        <v>38</v>
      </c>
      <c r="G49" s="3" t="s">
        <v>15</v>
      </c>
      <c r="H49" s="5">
        <f>D49/F49</f>
        <v>2.5263157894736841</v>
      </c>
    </row>
  </sheetData>
  <mergeCells count="4">
    <mergeCell ref="A26:H26"/>
    <mergeCell ref="K1:Q1"/>
    <mergeCell ref="K26:Q26"/>
    <mergeCell ref="A1:H1"/>
  </mergeCells>
  <conditionalFormatting sqref="H3:H5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1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2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3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:H9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:H19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0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1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2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3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8:H32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8:H49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9:H32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3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4:H36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7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8:H40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1:H42 H46"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3:H45 H47:H4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3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4:Q15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6:Q1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3"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8:Q31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28:Q4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2:Q37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8:Q39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41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42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43:Q45 Q40">
    <cfRule type="colorScale" priority="39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46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47:Q48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3"/>
  <sheetViews>
    <sheetView topLeftCell="A13" workbookViewId="0">
      <selection activeCell="K18" sqref="K18"/>
    </sheetView>
  </sheetViews>
  <sheetFormatPr baseColWidth="10" defaultRowHeight="15" x14ac:dyDescent="0.25"/>
  <cols>
    <col min="1" max="1" width="10.140625" bestFit="1" customWidth="1"/>
    <col min="2" max="2" width="24" bestFit="1" customWidth="1"/>
    <col min="3" max="3" width="15.7109375" customWidth="1"/>
    <col min="4" max="4" width="14" bestFit="1" customWidth="1"/>
    <col min="5" max="5" width="23.42578125" bestFit="1" customWidth="1"/>
    <col min="6" max="6" width="20" customWidth="1"/>
    <col min="7" max="7" width="39.42578125" customWidth="1"/>
    <col min="10" max="10" width="10.140625" bestFit="1" customWidth="1"/>
    <col min="11" max="11" width="23.28515625" customWidth="1"/>
    <col min="12" max="12" width="16.140625" customWidth="1"/>
    <col min="13" max="13" width="19" bestFit="1" customWidth="1"/>
    <col min="14" max="14" width="23.42578125" bestFit="1" customWidth="1"/>
    <col min="15" max="15" width="15.85546875" customWidth="1"/>
    <col min="16" max="16" width="33.5703125" bestFit="1" customWidth="1"/>
  </cols>
  <sheetData>
    <row r="1" spans="1:16" ht="18.75" customHeight="1" x14ac:dyDescent="0.3">
      <c r="A1" s="21" t="s">
        <v>125</v>
      </c>
      <c r="B1" s="23"/>
      <c r="C1" s="23"/>
      <c r="D1" s="23"/>
      <c r="E1" s="23"/>
      <c r="F1" s="23"/>
      <c r="G1" s="23"/>
      <c r="J1" s="21" t="s">
        <v>126</v>
      </c>
      <c r="K1" s="23"/>
      <c r="L1" s="23"/>
      <c r="M1" s="23"/>
      <c r="N1" s="23"/>
      <c r="O1" s="23"/>
      <c r="P1" s="23"/>
    </row>
    <row r="2" spans="1:16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J2" s="2" t="s">
        <v>4</v>
      </c>
      <c r="K2" s="2" t="s">
        <v>5</v>
      </c>
      <c r="L2" s="2" t="s">
        <v>6</v>
      </c>
      <c r="M2" s="2" t="s">
        <v>11</v>
      </c>
      <c r="N2" s="2" t="s">
        <v>8</v>
      </c>
      <c r="O2" s="2" t="s">
        <v>9</v>
      </c>
      <c r="P2" s="2" t="s">
        <v>12</v>
      </c>
    </row>
    <row r="3" spans="1:16" ht="18.75" customHeight="1" x14ac:dyDescent="0.3">
      <c r="A3" s="2">
        <f>1</f>
        <v>1</v>
      </c>
      <c r="B3" s="3" t="s">
        <v>127</v>
      </c>
      <c r="C3" s="3" t="s">
        <v>27</v>
      </c>
      <c r="D3" s="3">
        <v>77</v>
      </c>
      <c r="E3" s="3">
        <v>30</v>
      </c>
      <c r="F3" s="3" t="s">
        <v>15</v>
      </c>
      <c r="G3" s="5">
        <f t="shared" ref="G3:G18" si="0">D3/E3</f>
        <v>2.5666666666666669</v>
      </c>
      <c r="J3" s="2">
        <v>1</v>
      </c>
      <c r="K3" s="3" t="s">
        <v>16</v>
      </c>
      <c r="L3" s="3" t="s">
        <v>17</v>
      </c>
      <c r="M3" s="3">
        <v>122</v>
      </c>
      <c r="N3" s="3">
        <v>34</v>
      </c>
      <c r="O3" s="3" t="s">
        <v>18</v>
      </c>
      <c r="P3" s="5">
        <f t="shared" ref="P3:P17" si="1">M3/N3</f>
        <v>3.5882352941176472</v>
      </c>
    </row>
    <row r="4" spans="1:16" ht="18.75" customHeight="1" x14ac:dyDescent="0.3">
      <c r="A4" s="2">
        <f>A3+1</f>
        <v>2</v>
      </c>
      <c r="B4" s="3" t="s">
        <v>13</v>
      </c>
      <c r="C4" s="3" t="s">
        <v>14</v>
      </c>
      <c r="D4" s="3">
        <v>97</v>
      </c>
      <c r="E4" s="3">
        <v>38</v>
      </c>
      <c r="F4" s="3" t="s">
        <v>15</v>
      </c>
      <c r="G4" s="4">
        <f t="shared" si="0"/>
        <v>2.5526315789473686</v>
      </c>
      <c r="J4" s="2">
        <f t="shared" ref="J4:J12" si="2">J3+1</f>
        <v>2</v>
      </c>
      <c r="K4" s="3" t="s">
        <v>372</v>
      </c>
      <c r="L4" s="3" t="s">
        <v>14</v>
      </c>
      <c r="M4" s="3">
        <v>119</v>
      </c>
      <c r="N4" s="3">
        <v>34</v>
      </c>
      <c r="O4" s="3" t="s">
        <v>18</v>
      </c>
      <c r="P4" s="5">
        <f t="shared" si="1"/>
        <v>3.5</v>
      </c>
    </row>
    <row r="5" spans="1:16" ht="18.75" customHeight="1" x14ac:dyDescent="0.3">
      <c r="A5" s="2">
        <f>A4+1</f>
        <v>3</v>
      </c>
      <c r="B5" s="3" t="s">
        <v>128</v>
      </c>
      <c r="C5" s="3" t="s">
        <v>30</v>
      </c>
      <c r="D5" s="3">
        <v>86</v>
      </c>
      <c r="E5" s="3">
        <v>34</v>
      </c>
      <c r="F5" s="3" t="s">
        <v>15</v>
      </c>
      <c r="G5" s="5">
        <f t="shared" si="0"/>
        <v>2.5294117647058822</v>
      </c>
      <c r="J5" s="2">
        <f t="shared" si="2"/>
        <v>3</v>
      </c>
      <c r="K5" s="3" t="s">
        <v>372</v>
      </c>
      <c r="L5" s="3" t="s">
        <v>129</v>
      </c>
      <c r="M5" s="3">
        <v>112</v>
      </c>
      <c r="N5" s="3">
        <v>34</v>
      </c>
      <c r="O5" s="3" t="s">
        <v>18</v>
      </c>
      <c r="P5" s="5">
        <f t="shared" si="1"/>
        <v>3.2941176470588234</v>
      </c>
    </row>
    <row r="6" spans="1:16" ht="18.75" customHeight="1" x14ac:dyDescent="0.3">
      <c r="A6" s="2">
        <f>A5</f>
        <v>3</v>
      </c>
      <c r="B6" s="3" t="s">
        <v>19</v>
      </c>
      <c r="C6" s="3" t="s">
        <v>20</v>
      </c>
      <c r="D6" s="3">
        <v>96</v>
      </c>
      <c r="E6" s="3">
        <v>38</v>
      </c>
      <c r="F6" s="3" t="s">
        <v>15</v>
      </c>
      <c r="G6" s="5">
        <f t="shared" si="0"/>
        <v>2.5263157894736841</v>
      </c>
      <c r="J6" s="2">
        <f t="shared" si="2"/>
        <v>4</v>
      </c>
      <c r="K6" s="3" t="s">
        <v>130</v>
      </c>
      <c r="L6" s="3" t="s">
        <v>35</v>
      </c>
      <c r="M6" s="3">
        <v>111</v>
      </c>
      <c r="N6" s="3">
        <v>34</v>
      </c>
      <c r="O6" s="3" t="s">
        <v>18</v>
      </c>
      <c r="P6" s="5">
        <f t="shared" si="1"/>
        <v>3.2647058823529411</v>
      </c>
    </row>
    <row r="7" spans="1:16" ht="18.75" customHeight="1" x14ac:dyDescent="0.3">
      <c r="A7" s="2">
        <f>A6+2</f>
        <v>5</v>
      </c>
      <c r="B7" s="3" t="s">
        <v>372</v>
      </c>
      <c r="C7" s="3" t="s">
        <v>20</v>
      </c>
      <c r="D7" s="3">
        <v>85</v>
      </c>
      <c r="E7" s="3">
        <v>34</v>
      </c>
      <c r="F7" s="3" t="s">
        <v>15</v>
      </c>
      <c r="G7" s="5">
        <f t="shared" si="0"/>
        <v>2.5</v>
      </c>
      <c r="J7" s="2">
        <f t="shared" si="2"/>
        <v>5</v>
      </c>
      <c r="K7" s="3" t="s">
        <v>19</v>
      </c>
      <c r="L7" s="3" t="s">
        <v>21</v>
      </c>
      <c r="M7" s="3">
        <v>121</v>
      </c>
      <c r="N7" s="3">
        <v>38</v>
      </c>
      <c r="O7" s="3" t="s">
        <v>18</v>
      </c>
      <c r="P7" s="5">
        <f t="shared" si="1"/>
        <v>3.1842105263157894</v>
      </c>
    </row>
    <row r="8" spans="1:16" ht="18.75" customHeight="1" x14ac:dyDescent="0.3">
      <c r="A8" s="2">
        <f>A7</f>
        <v>5</v>
      </c>
      <c r="B8" s="3" t="s">
        <v>131</v>
      </c>
      <c r="C8" s="3" t="s">
        <v>54</v>
      </c>
      <c r="D8" s="3">
        <v>85</v>
      </c>
      <c r="E8" s="3">
        <v>34</v>
      </c>
      <c r="F8" s="3" t="s">
        <v>15</v>
      </c>
      <c r="G8" s="5">
        <f t="shared" si="0"/>
        <v>2.5</v>
      </c>
      <c r="J8" s="2">
        <f t="shared" si="2"/>
        <v>6</v>
      </c>
      <c r="K8" s="3" t="s">
        <v>372</v>
      </c>
      <c r="L8" s="3" t="s">
        <v>20</v>
      </c>
      <c r="M8" s="3">
        <v>106</v>
      </c>
      <c r="N8" s="3">
        <v>34</v>
      </c>
      <c r="O8" s="3" t="s">
        <v>15</v>
      </c>
      <c r="P8" s="5">
        <f t="shared" si="1"/>
        <v>3.1176470588235294</v>
      </c>
    </row>
    <row r="9" spans="1:16" ht="18.75" customHeight="1" x14ac:dyDescent="0.3">
      <c r="A9" s="2">
        <f>A8</f>
        <v>5</v>
      </c>
      <c r="B9" s="3" t="s">
        <v>132</v>
      </c>
      <c r="C9" s="3" t="s">
        <v>26</v>
      </c>
      <c r="D9" s="3">
        <v>85</v>
      </c>
      <c r="E9" s="3">
        <v>34</v>
      </c>
      <c r="F9" s="3" t="s">
        <v>15</v>
      </c>
      <c r="G9" s="5">
        <f t="shared" si="0"/>
        <v>2.5</v>
      </c>
      <c r="J9" s="2">
        <f t="shared" si="2"/>
        <v>7</v>
      </c>
      <c r="K9" s="3" t="s">
        <v>19</v>
      </c>
      <c r="L9" s="3" t="s">
        <v>23</v>
      </c>
      <c r="M9" s="3">
        <v>118</v>
      </c>
      <c r="N9" s="3">
        <v>38</v>
      </c>
      <c r="O9" s="3" t="s">
        <v>15</v>
      </c>
      <c r="P9" s="5">
        <f t="shared" si="1"/>
        <v>3.1052631578947367</v>
      </c>
    </row>
    <row r="10" spans="1:16" ht="18.75" customHeight="1" x14ac:dyDescent="0.3">
      <c r="A10" s="2">
        <f>A9</f>
        <v>5</v>
      </c>
      <c r="B10" s="3" t="s">
        <v>131</v>
      </c>
      <c r="C10" s="3" t="s">
        <v>14</v>
      </c>
      <c r="D10" s="3">
        <v>85</v>
      </c>
      <c r="E10" s="3">
        <v>34</v>
      </c>
      <c r="F10" s="3" t="s">
        <v>15</v>
      </c>
      <c r="G10" s="5">
        <f t="shared" si="0"/>
        <v>2.5</v>
      </c>
      <c r="J10" s="2">
        <f t="shared" si="2"/>
        <v>8</v>
      </c>
      <c r="K10" s="3" t="s">
        <v>130</v>
      </c>
      <c r="L10" s="3" t="s">
        <v>133</v>
      </c>
      <c r="M10" s="3">
        <v>105</v>
      </c>
      <c r="N10" s="3">
        <v>34</v>
      </c>
      <c r="O10" s="3" t="s">
        <v>18</v>
      </c>
      <c r="P10" s="5">
        <f t="shared" si="1"/>
        <v>3.0882352941176472</v>
      </c>
    </row>
    <row r="11" spans="1:16" ht="18.75" customHeight="1" x14ac:dyDescent="0.3">
      <c r="A11" s="2">
        <f>A10+4</f>
        <v>9</v>
      </c>
      <c r="B11" s="3" t="s">
        <v>372</v>
      </c>
      <c r="C11" s="3" t="s">
        <v>134</v>
      </c>
      <c r="D11" s="3">
        <v>83</v>
      </c>
      <c r="E11" s="3">
        <v>34</v>
      </c>
      <c r="F11" s="3" t="s">
        <v>15</v>
      </c>
      <c r="G11" s="5">
        <f t="shared" si="0"/>
        <v>2.4411764705882355</v>
      </c>
      <c r="J11" s="2">
        <f t="shared" si="2"/>
        <v>9</v>
      </c>
      <c r="K11" s="3" t="s">
        <v>24</v>
      </c>
      <c r="L11" s="3" t="s">
        <v>25</v>
      </c>
      <c r="M11" s="3">
        <v>116</v>
      </c>
      <c r="N11" s="3">
        <v>38</v>
      </c>
      <c r="O11" s="3" t="s">
        <v>15</v>
      </c>
      <c r="P11" s="5">
        <f t="shared" si="1"/>
        <v>3.0526315789473686</v>
      </c>
    </row>
    <row r="12" spans="1:16" ht="18.75" customHeight="1" x14ac:dyDescent="0.3">
      <c r="A12" s="2">
        <f>A11</f>
        <v>9</v>
      </c>
      <c r="B12" s="3" t="s">
        <v>130</v>
      </c>
      <c r="C12" s="3" t="s">
        <v>14</v>
      </c>
      <c r="D12" s="3">
        <v>83</v>
      </c>
      <c r="E12" s="3">
        <v>34</v>
      </c>
      <c r="F12" s="3" t="s">
        <v>15</v>
      </c>
      <c r="G12" s="5">
        <f t="shared" si="0"/>
        <v>2.4411764705882355</v>
      </c>
      <c r="J12" s="2">
        <f t="shared" si="2"/>
        <v>10</v>
      </c>
      <c r="K12" s="3" t="s">
        <v>24</v>
      </c>
      <c r="L12" s="3" t="s">
        <v>27</v>
      </c>
      <c r="M12" s="3">
        <v>115</v>
      </c>
      <c r="N12" s="3">
        <v>38</v>
      </c>
      <c r="O12" s="3" t="s">
        <v>18</v>
      </c>
      <c r="P12" s="5">
        <f t="shared" si="1"/>
        <v>3.0263157894736841</v>
      </c>
    </row>
    <row r="13" spans="1:16" ht="18.75" customHeight="1" x14ac:dyDescent="0.3">
      <c r="A13" s="2">
        <f>A12+2</f>
        <v>11</v>
      </c>
      <c r="B13" s="3" t="s">
        <v>19</v>
      </c>
      <c r="C13" s="3" t="s">
        <v>22</v>
      </c>
      <c r="D13" s="3">
        <v>92</v>
      </c>
      <c r="E13" s="3">
        <v>38</v>
      </c>
      <c r="F13" s="3" t="s">
        <v>15</v>
      </c>
      <c r="G13" s="5">
        <f t="shared" si="0"/>
        <v>2.4210526315789473</v>
      </c>
      <c r="J13" s="2">
        <f>J12</f>
        <v>10</v>
      </c>
      <c r="K13" s="3" t="s">
        <v>130</v>
      </c>
      <c r="L13" s="3" t="s">
        <v>27</v>
      </c>
      <c r="M13" s="3">
        <v>103</v>
      </c>
      <c r="N13" s="3">
        <v>34</v>
      </c>
      <c r="O13" s="3" t="s">
        <v>18</v>
      </c>
      <c r="P13" s="5">
        <f t="shared" si="1"/>
        <v>3.0294117647058822</v>
      </c>
    </row>
    <row r="14" spans="1:16" ht="18.75" customHeight="1" x14ac:dyDescent="0.3">
      <c r="A14" s="2">
        <f>A13</f>
        <v>11</v>
      </c>
      <c r="B14" s="3" t="s">
        <v>19</v>
      </c>
      <c r="C14" s="3" t="s">
        <v>23</v>
      </c>
      <c r="D14" s="3">
        <v>92</v>
      </c>
      <c r="E14" s="3">
        <v>38</v>
      </c>
      <c r="F14" s="3" t="s">
        <v>15</v>
      </c>
      <c r="G14" s="5">
        <f t="shared" si="0"/>
        <v>2.4210526315789473</v>
      </c>
      <c r="J14" s="2">
        <f>J13</f>
        <v>10</v>
      </c>
      <c r="K14" s="3" t="s">
        <v>130</v>
      </c>
      <c r="L14" s="3" t="s">
        <v>135</v>
      </c>
      <c r="M14" s="3">
        <v>103</v>
      </c>
      <c r="N14" s="3">
        <v>34</v>
      </c>
      <c r="O14" s="3" t="s">
        <v>18</v>
      </c>
      <c r="P14" s="5">
        <f t="shared" si="1"/>
        <v>3.0294117647058822</v>
      </c>
    </row>
    <row r="15" spans="1:16" ht="18.75" customHeight="1" x14ac:dyDescent="0.3">
      <c r="A15" s="2">
        <f>A14</f>
        <v>11</v>
      </c>
      <c r="B15" s="3" t="s">
        <v>13</v>
      </c>
      <c r="C15" s="3" t="s">
        <v>26</v>
      </c>
      <c r="D15" s="3">
        <v>92</v>
      </c>
      <c r="E15" s="3">
        <v>38</v>
      </c>
      <c r="F15" s="3" t="s">
        <v>15</v>
      </c>
      <c r="G15" s="4">
        <f t="shared" si="0"/>
        <v>2.4210526315789473</v>
      </c>
      <c r="J15" s="2">
        <f>J14</f>
        <v>10</v>
      </c>
      <c r="K15" s="3" t="s">
        <v>127</v>
      </c>
      <c r="L15" s="3" t="s">
        <v>14</v>
      </c>
      <c r="M15" s="3">
        <v>103</v>
      </c>
      <c r="N15" s="3">
        <v>34</v>
      </c>
      <c r="O15" s="3" t="s">
        <v>18</v>
      </c>
      <c r="P15" s="5">
        <f t="shared" si="1"/>
        <v>3.0294117647058822</v>
      </c>
    </row>
    <row r="16" spans="1:16" ht="18.75" customHeight="1" x14ac:dyDescent="0.3">
      <c r="A16" s="2">
        <f>A15+3</f>
        <v>14</v>
      </c>
      <c r="B16" s="3" t="s">
        <v>372</v>
      </c>
      <c r="C16" s="3" t="s">
        <v>30</v>
      </c>
      <c r="D16" s="3">
        <v>82</v>
      </c>
      <c r="E16" s="3">
        <v>34</v>
      </c>
      <c r="F16" s="3" t="s">
        <v>15</v>
      </c>
      <c r="G16" s="5">
        <f t="shared" si="0"/>
        <v>2.4117647058823528</v>
      </c>
      <c r="J16" s="2">
        <f>J12+4</f>
        <v>14</v>
      </c>
      <c r="K16" s="3" t="s">
        <v>24</v>
      </c>
      <c r="L16" s="3" t="s">
        <v>21</v>
      </c>
      <c r="M16" s="3">
        <v>114</v>
      </c>
      <c r="N16" s="3">
        <v>38</v>
      </c>
      <c r="O16" s="3" t="s">
        <v>15</v>
      </c>
      <c r="P16" s="5">
        <f t="shared" si="1"/>
        <v>3</v>
      </c>
    </row>
    <row r="17" spans="1:16" ht="18.75" customHeight="1" x14ac:dyDescent="0.3">
      <c r="A17" s="2">
        <f>A16</f>
        <v>14</v>
      </c>
      <c r="B17" s="3" t="s">
        <v>131</v>
      </c>
      <c r="C17" s="3" t="s">
        <v>23</v>
      </c>
      <c r="D17" s="3">
        <v>82</v>
      </c>
      <c r="E17" s="3">
        <v>34</v>
      </c>
      <c r="F17" s="3" t="s">
        <v>15</v>
      </c>
      <c r="G17" s="5">
        <f t="shared" si="0"/>
        <v>2.4117647058823528</v>
      </c>
      <c r="J17" s="2">
        <f>J16+1</f>
        <v>15</v>
      </c>
      <c r="K17" s="3" t="s">
        <v>372</v>
      </c>
      <c r="L17" s="3" t="s">
        <v>32</v>
      </c>
      <c r="M17" s="3">
        <v>102</v>
      </c>
      <c r="N17" s="3">
        <v>34</v>
      </c>
      <c r="O17" s="3" t="s">
        <v>18</v>
      </c>
      <c r="P17" s="5">
        <f t="shared" si="1"/>
        <v>3</v>
      </c>
    </row>
    <row r="18" spans="1:16" ht="18.75" customHeight="1" x14ac:dyDescent="0.3">
      <c r="A18" s="2">
        <f>A17</f>
        <v>14</v>
      </c>
      <c r="B18" s="3" t="s">
        <v>132</v>
      </c>
      <c r="C18" s="3" t="s">
        <v>17</v>
      </c>
      <c r="D18" s="3">
        <v>82</v>
      </c>
      <c r="E18" s="3">
        <v>34</v>
      </c>
      <c r="F18" s="3" t="s">
        <v>15</v>
      </c>
      <c r="G18" s="5">
        <f t="shared" si="0"/>
        <v>2.4117647058823528</v>
      </c>
    </row>
    <row r="21" spans="1:16" ht="18.75" customHeight="1" x14ac:dyDescent="0.3">
      <c r="A21" s="22" t="s">
        <v>136</v>
      </c>
      <c r="B21" s="24"/>
      <c r="C21" s="24"/>
      <c r="D21" s="24"/>
      <c r="E21" s="24"/>
      <c r="F21" s="24"/>
      <c r="G21" s="24"/>
      <c r="J21" s="21" t="s">
        <v>137</v>
      </c>
      <c r="K21" s="23"/>
      <c r="L21" s="23"/>
      <c r="M21" s="23"/>
      <c r="N21" s="23"/>
      <c r="O21" s="23"/>
      <c r="P21" s="23"/>
    </row>
    <row r="22" spans="1:16" ht="18.75" customHeight="1" x14ac:dyDescent="0.3">
      <c r="A22" s="2" t="s">
        <v>4</v>
      </c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J22" s="2" t="s">
        <v>4</v>
      </c>
      <c r="K22" s="2" t="s">
        <v>5</v>
      </c>
      <c r="L22" s="2" t="s">
        <v>6</v>
      </c>
      <c r="M22" s="2" t="s">
        <v>201</v>
      </c>
      <c r="N22" s="2" t="s">
        <v>8</v>
      </c>
      <c r="O22" s="2" t="s">
        <v>9</v>
      </c>
      <c r="P22" s="2" t="s">
        <v>202</v>
      </c>
    </row>
    <row r="23" spans="1:16" ht="18.75" customHeight="1" x14ac:dyDescent="0.3">
      <c r="A23" s="2">
        <v>1</v>
      </c>
      <c r="B23" s="3" t="s">
        <v>131</v>
      </c>
      <c r="C23" s="3" t="s">
        <v>22</v>
      </c>
      <c r="D23" s="3">
        <v>84</v>
      </c>
      <c r="E23" s="3">
        <v>30</v>
      </c>
      <c r="F23" s="3" t="s">
        <v>18</v>
      </c>
      <c r="G23" s="5">
        <f t="shared" ref="G23:G37" si="3">D23/E23</f>
        <v>2.8</v>
      </c>
      <c r="J23" s="2">
        <v>1</v>
      </c>
      <c r="K23" s="3" t="s">
        <v>131</v>
      </c>
      <c r="L23" s="3" t="s">
        <v>23</v>
      </c>
      <c r="M23" s="3">
        <v>13</v>
      </c>
      <c r="N23" s="3">
        <v>34</v>
      </c>
      <c r="O23" s="3" t="s">
        <v>15</v>
      </c>
      <c r="P23" s="5">
        <f t="shared" ref="P23:P43" si="4">M23/N23</f>
        <v>0.38235294117647056</v>
      </c>
    </row>
    <row r="24" spans="1:16" ht="18.75" customHeight="1" x14ac:dyDescent="0.3">
      <c r="A24" s="2">
        <f>A23+1</f>
        <v>2</v>
      </c>
      <c r="B24" s="3" t="s">
        <v>367</v>
      </c>
      <c r="C24" s="3" t="s">
        <v>40</v>
      </c>
      <c r="D24" s="3">
        <v>102</v>
      </c>
      <c r="E24" s="3">
        <v>38</v>
      </c>
      <c r="F24" s="3" t="s">
        <v>18</v>
      </c>
      <c r="G24" s="5">
        <f t="shared" si="3"/>
        <v>2.6842105263157894</v>
      </c>
      <c r="J24" s="2">
        <f>J23+1</f>
        <v>2</v>
      </c>
      <c r="K24" s="3" t="s">
        <v>48</v>
      </c>
      <c r="L24" s="3" t="s">
        <v>49</v>
      </c>
      <c r="M24" s="3">
        <v>15</v>
      </c>
      <c r="N24" s="3">
        <v>38</v>
      </c>
      <c r="O24" s="3" t="s">
        <v>18</v>
      </c>
      <c r="P24" s="5">
        <f t="shared" si="4"/>
        <v>0.39473684210526316</v>
      </c>
    </row>
    <row r="25" spans="1:16" ht="18.75" customHeight="1" x14ac:dyDescent="0.3">
      <c r="A25" s="2">
        <f>A24</f>
        <v>2</v>
      </c>
      <c r="B25" s="3" t="s">
        <v>16</v>
      </c>
      <c r="C25" s="3" t="s">
        <v>27</v>
      </c>
      <c r="D25" s="3">
        <v>91</v>
      </c>
      <c r="E25" s="3">
        <v>34</v>
      </c>
      <c r="F25" s="3" t="s">
        <v>18</v>
      </c>
      <c r="G25" s="5">
        <f t="shared" si="3"/>
        <v>2.6764705882352939</v>
      </c>
      <c r="J25" s="2">
        <f>J24+1</f>
        <v>3</v>
      </c>
      <c r="K25" s="3" t="s">
        <v>131</v>
      </c>
      <c r="L25" s="3" t="s">
        <v>59</v>
      </c>
      <c r="M25" s="3">
        <v>13</v>
      </c>
      <c r="N25" s="3">
        <v>30</v>
      </c>
      <c r="O25" s="3" t="s">
        <v>18</v>
      </c>
      <c r="P25" s="5">
        <f t="shared" si="4"/>
        <v>0.43333333333333335</v>
      </c>
    </row>
    <row r="26" spans="1:16" ht="18.75" customHeight="1" x14ac:dyDescent="0.3">
      <c r="A26" s="2">
        <f>A25</f>
        <v>2</v>
      </c>
      <c r="B26" s="3" t="s">
        <v>130</v>
      </c>
      <c r="C26" s="3" t="s">
        <v>35</v>
      </c>
      <c r="D26" s="3">
        <v>91</v>
      </c>
      <c r="E26" s="3">
        <v>34</v>
      </c>
      <c r="F26" s="3" t="s">
        <v>18</v>
      </c>
      <c r="G26" s="5">
        <f t="shared" si="3"/>
        <v>2.6764705882352939</v>
      </c>
      <c r="J26" s="2">
        <f>J25+1</f>
        <v>4</v>
      </c>
      <c r="K26" s="3" t="s">
        <v>34</v>
      </c>
      <c r="L26" s="3" t="s">
        <v>50</v>
      </c>
      <c r="M26" s="3">
        <v>17</v>
      </c>
      <c r="N26" s="3">
        <v>38</v>
      </c>
      <c r="O26" s="3" t="s">
        <v>15</v>
      </c>
      <c r="P26" s="5">
        <f t="shared" si="4"/>
        <v>0.44736842105263158</v>
      </c>
    </row>
    <row r="27" spans="1:16" ht="18.75" customHeight="1" x14ac:dyDescent="0.3">
      <c r="A27" s="2">
        <f>A26</f>
        <v>2</v>
      </c>
      <c r="B27" s="3" t="s">
        <v>131</v>
      </c>
      <c r="C27" s="3" t="s">
        <v>26</v>
      </c>
      <c r="D27" s="3">
        <v>91</v>
      </c>
      <c r="E27" s="3">
        <v>34</v>
      </c>
      <c r="F27" s="3" t="s">
        <v>18</v>
      </c>
      <c r="G27" s="5">
        <f t="shared" si="3"/>
        <v>2.6764705882352939</v>
      </c>
      <c r="J27" s="2">
        <f>J26+1</f>
        <v>5</v>
      </c>
      <c r="K27" s="3" t="s">
        <v>52</v>
      </c>
      <c r="L27" s="3" t="s">
        <v>30</v>
      </c>
      <c r="M27" s="3">
        <v>18</v>
      </c>
      <c r="N27" s="3">
        <v>38</v>
      </c>
      <c r="O27" s="3" t="s">
        <v>44</v>
      </c>
      <c r="P27" s="5">
        <f t="shared" si="4"/>
        <v>0.47368421052631576</v>
      </c>
    </row>
    <row r="28" spans="1:16" ht="18.75" customHeight="1" x14ac:dyDescent="0.3">
      <c r="A28" s="2">
        <f>A27+4</f>
        <v>6</v>
      </c>
      <c r="B28" s="3" t="s">
        <v>51</v>
      </c>
      <c r="C28" s="3" t="s">
        <v>35</v>
      </c>
      <c r="D28" s="3">
        <v>90</v>
      </c>
      <c r="E28" s="3">
        <v>34</v>
      </c>
      <c r="F28" s="3" t="s">
        <v>18</v>
      </c>
      <c r="G28" s="5">
        <f t="shared" si="3"/>
        <v>2.6470588235294117</v>
      </c>
      <c r="J28" s="2">
        <f>J27</f>
        <v>5</v>
      </c>
      <c r="K28" s="3" t="s">
        <v>131</v>
      </c>
      <c r="L28" s="3" t="s">
        <v>27</v>
      </c>
      <c r="M28" s="3">
        <v>14</v>
      </c>
      <c r="N28" s="3">
        <v>30</v>
      </c>
      <c r="O28" s="3" t="s">
        <v>18</v>
      </c>
      <c r="P28" s="5">
        <f t="shared" si="4"/>
        <v>0.46666666666666667</v>
      </c>
    </row>
    <row r="29" spans="1:16" ht="18.75" customHeight="1" x14ac:dyDescent="0.3">
      <c r="A29" s="2">
        <f>A28</f>
        <v>6</v>
      </c>
      <c r="B29" s="3" t="s">
        <v>16</v>
      </c>
      <c r="C29" s="3" t="s">
        <v>40</v>
      </c>
      <c r="D29" s="3">
        <v>90</v>
      </c>
      <c r="E29" s="3">
        <v>34</v>
      </c>
      <c r="F29" s="3" t="s">
        <v>18</v>
      </c>
      <c r="G29" s="5">
        <f t="shared" si="3"/>
        <v>2.6470588235294117</v>
      </c>
      <c r="J29" s="2">
        <f>J28</f>
        <v>5</v>
      </c>
      <c r="K29" s="3" t="s">
        <v>127</v>
      </c>
      <c r="L29" s="3" t="s">
        <v>23</v>
      </c>
      <c r="M29" s="3">
        <v>16</v>
      </c>
      <c r="N29" s="3">
        <v>34</v>
      </c>
      <c r="O29" s="3" t="s">
        <v>18</v>
      </c>
      <c r="P29" s="5">
        <f t="shared" si="4"/>
        <v>0.47058823529411764</v>
      </c>
    </row>
    <row r="30" spans="1:16" ht="18.75" customHeight="1" x14ac:dyDescent="0.3">
      <c r="A30" s="2">
        <f>A29</f>
        <v>6</v>
      </c>
      <c r="B30" s="3" t="s">
        <v>132</v>
      </c>
      <c r="C30" s="3" t="s">
        <v>35</v>
      </c>
      <c r="D30" s="3">
        <v>90</v>
      </c>
      <c r="E30" s="3">
        <v>34</v>
      </c>
      <c r="F30" s="3" t="s">
        <v>18</v>
      </c>
      <c r="G30" s="5">
        <f t="shared" si="3"/>
        <v>2.6470588235294117</v>
      </c>
      <c r="J30" s="2">
        <f>J28</f>
        <v>5</v>
      </c>
      <c r="K30" s="3" t="s">
        <v>131</v>
      </c>
      <c r="L30" s="3" t="s">
        <v>37</v>
      </c>
      <c r="M30" s="3">
        <v>16</v>
      </c>
      <c r="N30" s="3">
        <v>34</v>
      </c>
      <c r="O30" s="3" t="s">
        <v>18</v>
      </c>
      <c r="P30" s="5">
        <f t="shared" si="4"/>
        <v>0.47058823529411764</v>
      </c>
    </row>
    <row r="31" spans="1:16" ht="18.75" customHeight="1" x14ac:dyDescent="0.3">
      <c r="A31" s="2">
        <f>A29+3</f>
        <v>9</v>
      </c>
      <c r="B31" s="3" t="s">
        <v>53</v>
      </c>
      <c r="C31" s="3" t="s">
        <v>29</v>
      </c>
      <c r="D31" s="3">
        <v>100</v>
      </c>
      <c r="E31" s="3">
        <v>38</v>
      </c>
      <c r="F31" s="3" t="s">
        <v>18</v>
      </c>
      <c r="G31" s="5">
        <f t="shared" si="3"/>
        <v>2.6315789473684212</v>
      </c>
      <c r="J31" s="2">
        <f>J30+4</f>
        <v>9</v>
      </c>
      <c r="K31" s="3" t="s">
        <v>41</v>
      </c>
      <c r="L31" s="3" t="s">
        <v>30</v>
      </c>
      <c r="M31" s="3">
        <v>19</v>
      </c>
      <c r="N31" s="3">
        <v>38</v>
      </c>
      <c r="O31" s="3" t="s">
        <v>18</v>
      </c>
      <c r="P31" s="5">
        <f t="shared" si="4"/>
        <v>0.5</v>
      </c>
    </row>
    <row r="32" spans="1:16" ht="18.75" customHeight="1" x14ac:dyDescent="0.3">
      <c r="A32" s="2">
        <f>A31</f>
        <v>9</v>
      </c>
      <c r="B32" s="3" t="s">
        <v>24</v>
      </c>
      <c r="C32" s="3" t="s">
        <v>27</v>
      </c>
      <c r="D32" s="3">
        <v>100</v>
      </c>
      <c r="E32" s="3">
        <v>38</v>
      </c>
      <c r="F32" s="3" t="s">
        <v>18</v>
      </c>
      <c r="G32" s="5">
        <f t="shared" si="3"/>
        <v>2.6315789473684212</v>
      </c>
      <c r="J32" s="2">
        <f>J31</f>
        <v>9</v>
      </c>
      <c r="K32" s="3" t="s">
        <v>16</v>
      </c>
      <c r="L32" s="3" t="s">
        <v>30</v>
      </c>
      <c r="M32" s="3">
        <v>17</v>
      </c>
      <c r="N32" s="3">
        <v>34</v>
      </c>
      <c r="O32" s="3" t="s">
        <v>18</v>
      </c>
      <c r="P32" s="5">
        <f t="shared" si="4"/>
        <v>0.5</v>
      </c>
    </row>
    <row r="33" spans="1:16" ht="18.75" customHeight="1" x14ac:dyDescent="0.3">
      <c r="A33" s="2">
        <f>A32</f>
        <v>9</v>
      </c>
      <c r="B33" s="3" t="s">
        <v>19</v>
      </c>
      <c r="C33" s="3" t="s">
        <v>21</v>
      </c>
      <c r="D33" s="3">
        <v>100</v>
      </c>
      <c r="E33" s="3">
        <v>38</v>
      </c>
      <c r="F33" s="3" t="s">
        <v>18</v>
      </c>
      <c r="G33" s="5">
        <f t="shared" si="3"/>
        <v>2.6315789473684212</v>
      </c>
      <c r="J33" s="2">
        <f>J32</f>
        <v>9</v>
      </c>
      <c r="K33" s="3" t="s">
        <v>132</v>
      </c>
      <c r="L33" s="3" t="s">
        <v>56</v>
      </c>
      <c r="M33" s="3">
        <v>15</v>
      </c>
      <c r="N33" s="3">
        <v>30</v>
      </c>
      <c r="O33" s="3" t="s">
        <v>15</v>
      </c>
      <c r="P33" s="5">
        <f t="shared" si="4"/>
        <v>0.5</v>
      </c>
    </row>
    <row r="34" spans="1:16" ht="18.75" customHeight="1" x14ac:dyDescent="0.3">
      <c r="A34" s="2">
        <f>A33+3</f>
        <v>12</v>
      </c>
      <c r="B34" s="3" t="s">
        <v>16</v>
      </c>
      <c r="C34" s="3" t="s">
        <v>17</v>
      </c>
      <c r="D34" s="3">
        <v>89</v>
      </c>
      <c r="E34" s="3">
        <v>34</v>
      </c>
      <c r="F34" s="3" t="s">
        <v>18</v>
      </c>
      <c r="G34" s="5">
        <f t="shared" si="3"/>
        <v>2.6176470588235294</v>
      </c>
      <c r="J34" s="2">
        <f>J33+3</f>
        <v>12</v>
      </c>
      <c r="K34" s="7" t="s">
        <v>367</v>
      </c>
      <c r="L34" s="7" t="s">
        <v>30</v>
      </c>
      <c r="M34" s="7">
        <v>20</v>
      </c>
      <c r="N34" s="7">
        <v>38</v>
      </c>
      <c r="O34" s="7" t="s">
        <v>18</v>
      </c>
      <c r="P34" s="8">
        <f t="shared" si="4"/>
        <v>0.52631578947368418</v>
      </c>
    </row>
    <row r="35" spans="1:16" ht="18.75" customHeight="1" x14ac:dyDescent="0.3">
      <c r="A35" s="2">
        <f>A34</f>
        <v>12</v>
      </c>
      <c r="B35" s="3" t="s">
        <v>372</v>
      </c>
      <c r="C35" s="3" t="s">
        <v>129</v>
      </c>
      <c r="D35" s="3">
        <v>89</v>
      </c>
      <c r="E35" s="3">
        <v>34</v>
      </c>
      <c r="F35" s="3" t="s">
        <v>18</v>
      </c>
      <c r="G35" s="5">
        <f t="shared" si="3"/>
        <v>2.6176470588235294</v>
      </c>
      <c r="J35" s="2">
        <f>J34</f>
        <v>12</v>
      </c>
      <c r="K35" s="7" t="s">
        <v>367</v>
      </c>
      <c r="L35" s="7" t="s">
        <v>21</v>
      </c>
      <c r="M35" s="7">
        <v>20</v>
      </c>
      <c r="N35" s="7">
        <v>38</v>
      </c>
      <c r="O35" s="7" t="s">
        <v>18</v>
      </c>
      <c r="P35" s="8">
        <f t="shared" si="4"/>
        <v>0.52631578947368418</v>
      </c>
    </row>
    <row r="36" spans="1:16" ht="18.75" customHeight="1" x14ac:dyDescent="0.3">
      <c r="A36" s="2">
        <f>A34+2</f>
        <v>14</v>
      </c>
      <c r="B36" s="3" t="s">
        <v>13</v>
      </c>
      <c r="C36" s="3" t="s">
        <v>31</v>
      </c>
      <c r="D36" s="3">
        <v>99</v>
      </c>
      <c r="E36" s="3">
        <v>38</v>
      </c>
      <c r="F36" s="3" t="s">
        <v>18</v>
      </c>
      <c r="G36" s="5">
        <f t="shared" si="3"/>
        <v>2.6052631578947367</v>
      </c>
      <c r="J36" s="2">
        <f>J35</f>
        <v>12</v>
      </c>
      <c r="K36" s="3" t="s">
        <v>24</v>
      </c>
      <c r="L36" s="3" t="s">
        <v>54</v>
      </c>
      <c r="M36" s="3">
        <v>20</v>
      </c>
      <c r="N36" s="3">
        <v>38</v>
      </c>
      <c r="O36" s="3" t="s">
        <v>18</v>
      </c>
      <c r="P36" s="5">
        <f t="shared" si="4"/>
        <v>0.52631578947368418</v>
      </c>
    </row>
    <row r="37" spans="1:16" ht="18.75" customHeight="1" x14ac:dyDescent="0.3">
      <c r="A37" s="2">
        <f>A36</f>
        <v>14</v>
      </c>
      <c r="B37" s="3" t="s">
        <v>24</v>
      </c>
      <c r="C37" s="3" t="s">
        <v>20</v>
      </c>
      <c r="D37" s="3">
        <v>99</v>
      </c>
      <c r="E37" s="3">
        <v>38</v>
      </c>
      <c r="F37" s="3" t="s">
        <v>18</v>
      </c>
      <c r="G37" s="5">
        <f t="shared" si="3"/>
        <v>2.6052631578947367</v>
      </c>
      <c r="J37" s="2">
        <f>J36</f>
        <v>12</v>
      </c>
      <c r="K37" s="3" t="s">
        <v>130</v>
      </c>
      <c r="L37" s="3" t="s">
        <v>49</v>
      </c>
      <c r="M37" s="3">
        <v>18</v>
      </c>
      <c r="N37" s="3">
        <v>34</v>
      </c>
      <c r="O37" s="3" t="s">
        <v>18</v>
      </c>
      <c r="P37" s="5">
        <f t="shared" si="4"/>
        <v>0.52941176470588236</v>
      </c>
    </row>
    <row r="38" spans="1:16" ht="18.75" customHeight="1" x14ac:dyDescent="0.3">
      <c r="J38" s="2">
        <f>J36</f>
        <v>12</v>
      </c>
      <c r="K38" s="3" t="s">
        <v>16</v>
      </c>
      <c r="L38" s="3" t="s">
        <v>23</v>
      </c>
      <c r="M38" s="3">
        <v>18</v>
      </c>
      <c r="N38" s="3">
        <v>34</v>
      </c>
      <c r="O38" s="3" t="s">
        <v>18</v>
      </c>
      <c r="P38" s="5">
        <f t="shared" si="4"/>
        <v>0.52941176470588236</v>
      </c>
    </row>
    <row r="39" spans="1:16" ht="18.75" customHeight="1" x14ac:dyDescent="0.3">
      <c r="J39" s="2">
        <f>J38</f>
        <v>12</v>
      </c>
      <c r="K39" s="3" t="s">
        <v>16</v>
      </c>
      <c r="L39" s="3" t="s">
        <v>27</v>
      </c>
      <c r="M39" s="3">
        <v>18</v>
      </c>
      <c r="N39" s="3">
        <v>34</v>
      </c>
      <c r="O39" s="3" t="s">
        <v>18</v>
      </c>
      <c r="P39" s="5">
        <f t="shared" si="4"/>
        <v>0.52941176470588236</v>
      </c>
    </row>
    <row r="40" spans="1:16" ht="18.75" customHeight="1" x14ac:dyDescent="0.3">
      <c r="J40" s="2">
        <f>J39</f>
        <v>12</v>
      </c>
      <c r="K40" s="3" t="s">
        <v>131</v>
      </c>
      <c r="L40" s="3" t="s">
        <v>29</v>
      </c>
      <c r="M40" s="3">
        <v>18</v>
      </c>
      <c r="N40" s="3">
        <v>34</v>
      </c>
      <c r="O40" s="3" t="s">
        <v>18</v>
      </c>
      <c r="P40" s="5">
        <f t="shared" si="4"/>
        <v>0.52941176470588236</v>
      </c>
    </row>
    <row r="41" spans="1:16" ht="18.75" customHeight="1" x14ac:dyDescent="0.3">
      <c r="J41" s="2">
        <f>J40</f>
        <v>12</v>
      </c>
      <c r="K41" s="3" t="s">
        <v>127</v>
      </c>
      <c r="L41" s="3" t="s">
        <v>25</v>
      </c>
      <c r="M41" s="3">
        <v>18</v>
      </c>
      <c r="N41" s="3">
        <v>34</v>
      </c>
      <c r="O41" s="3" t="s">
        <v>18</v>
      </c>
      <c r="P41" s="5">
        <f t="shared" si="4"/>
        <v>0.52941176470588236</v>
      </c>
    </row>
    <row r="42" spans="1:16" ht="18.75" customHeight="1" x14ac:dyDescent="0.3">
      <c r="J42" s="2">
        <f>J41</f>
        <v>12</v>
      </c>
      <c r="K42" s="3" t="s">
        <v>131</v>
      </c>
      <c r="L42" s="3" t="s">
        <v>17</v>
      </c>
      <c r="M42" s="3">
        <v>18</v>
      </c>
      <c r="N42" s="3">
        <v>34</v>
      </c>
      <c r="O42" s="3" t="s">
        <v>18</v>
      </c>
      <c r="P42" s="5">
        <f t="shared" si="4"/>
        <v>0.52941176470588236</v>
      </c>
    </row>
    <row r="43" spans="1:16" ht="18.75" customHeight="1" x14ac:dyDescent="0.3">
      <c r="J43" s="2">
        <f>J41</f>
        <v>12</v>
      </c>
      <c r="K43" s="3" t="s">
        <v>131</v>
      </c>
      <c r="L43" s="3" t="s">
        <v>21</v>
      </c>
      <c r="M43" s="3">
        <v>16</v>
      </c>
      <c r="N43" s="3">
        <v>30</v>
      </c>
      <c r="O43" s="3" t="s">
        <v>18</v>
      </c>
      <c r="P43" s="5">
        <f t="shared" si="4"/>
        <v>0.53333333333333333</v>
      </c>
    </row>
  </sheetData>
  <mergeCells count="4">
    <mergeCell ref="J1:P1"/>
    <mergeCell ref="J21:P21"/>
    <mergeCell ref="A21:G21"/>
    <mergeCell ref="A1:G1"/>
  </mergeCells>
  <conditionalFormatting sqref="G3:G18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:G12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6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18"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3:G37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6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7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0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5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P1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5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3:P4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8:P30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33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3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40:P43">
    <cfRule type="colorScale" priority="7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9"/>
  <sheetViews>
    <sheetView workbookViewId="0">
      <selection activeCell="L10" sqref="L10"/>
    </sheetView>
  </sheetViews>
  <sheetFormatPr baseColWidth="10" defaultRowHeight="15" x14ac:dyDescent="0.25"/>
  <cols>
    <col min="1" max="1" width="10.140625" bestFit="1" customWidth="1"/>
    <col min="2" max="2" width="25.7109375" bestFit="1" customWidth="1"/>
    <col min="3" max="3" width="13.5703125" bestFit="1" customWidth="1"/>
    <col min="4" max="4" width="14" bestFit="1" customWidth="1"/>
    <col min="5" max="5" width="30.7109375" bestFit="1" customWidth="1"/>
    <col min="6" max="6" width="23.42578125" bestFit="1" customWidth="1"/>
    <col min="7" max="7" width="13.85546875" bestFit="1" customWidth="1"/>
    <col min="8" max="8" width="33.140625" customWidth="1"/>
    <col min="11" max="11" width="11.85546875" customWidth="1"/>
    <col min="12" max="12" width="26.42578125" customWidth="1"/>
    <col min="13" max="13" width="15.140625" customWidth="1"/>
    <col min="14" max="14" width="19" bestFit="1" customWidth="1"/>
    <col min="15" max="15" width="23.42578125" bestFit="1" customWidth="1"/>
    <col min="16" max="16" width="13.85546875" bestFit="1" customWidth="1"/>
    <col min="17" max="17" width="33.5703125" bestFit="1" customWidth="1"/>
  </cols>
  <sheetData>
    <row r="1" spans="1:17" ht="18.75" customHeight="1" x14ac:dyDescent="0.3">
      <c r="A1" s="21" t="s">
        <v>138</v>
      </c>
      <c r="B1" s="23"/>
      <c r="C1" s="23"/>
      <c r="D1" s="23"/>
      <c r="E1" s="23"/>
      <c r="F1" s="23"/>
      <c r="G1" s="23"/>
      <c r="H1" s="23"/>
      <c r="K1" s="21" t="s">
        <v>139</v>
      </c>
      <c r="L1" s="20"/>
      <c r="M1" s="20"/>
      <c r="N1" s="20"/>
      <c r="O1" s="20"/>
      <c r="P1" s="20"/>
      <c r="Q1" s="20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366</v>
      </c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</row>
    <row r="3" spans="1:17" ht="18.75" customHeight="1" x14ac:dyDescent="0.3">
      <c r="A3" s="2">
        <f>1</f>
        <v>1</v>
      </c>
      <c r="B3" s="3" t="s">
        <v>131</v>
      </c>
      <c r="C3" s="3" t="s">
        <v>84</v>
      </c>
      <c r="D3" s="3">
        <v>67</v>
      </c>
      <c r="E3" s="3" t="s">
        <v>111</v>
      </c>
      <c r="F3" s="3">
        <v>38</v>
      </c>
      <c r="G3" s="3" t="s">
        <v>15</v>
      </c>
      <c r="H3" s="5">
        <f>(D3/76)*3</f>
        <v>2.6447368421052628</v>
      </c>
      <c r="K3" s="2">
        <v>1</v>
      </c>
      <c r="L3" s="3" t="s">
        <v>127</v>
      </c>
      <c r="M3" s="3" t="s">
        <v>69</v>
      </c>
      <c r="N3" s="3">
        <v>103</v>
      </c>
      <c r="O3" s="3">
        <v>26</v>
      </c>
      <c r="P3" s="3" t="s">
        <v>18</v>
      </c>
      <c r="Q3" s="5">
        <f t="shared" ref="Q3:Q17" si="0">N3/O3</f>
        <v>3.9615384615384617</v>
      </c>
    </row>
    <row r="4" spans="1:17" ht="18.75" customHeight="1" x14ac:dyDescent="0.3">
      <c r="A4" s="2">
        <f>A3+1</f>
        <v>2</v>
      </c>
      <c r="B4" s="3" t="s">
        <v>127</v>
      </c>
      <c r="C4" s="3" t="s">
        <v>27</v>
      </c>
      <c r="D4" s="3">
        <v>77</v>
      </c>
      <c r="E4" s="3">
        <v>90</v>
      </c>
      <c r="F4" s="3">
        <v>30</v>
      </c>
      <c r="G4" s="3" t="s">
        <v>15</v>
      </c>
      <c r="H4" s="5">
        <f>D4/F4</f>
        <v>2.5666666666666669</v>
      </c>
      <c r="K4" s="2">
        <f t="shared" ref="K4:K9" si="1">K3+1</f>
        <v>2</v>
      </c>
      <c r="L4" s="3" t="s">
        <v>140</v>
      </c>
      <c r="M4" s="3">
        <v>1955</v>
      </c>
      <c r="N4" s="3">
        <v>99</v>
      </c>
      <c r="O4" s="3">
        <v>26</v>
      </c>
      <c r="P4" s="3" t="s">
        <v>18</v>
      </c>
      <c r="Q4" s="5">
        <f t="shared" si="0"/>
        <v>3.8076923076923075</v>
      </c>
    </row>
    <row r="5" spans="1:17" ht="18.75" customHeight="1" x14ac:dyDescent="0.3">
      <c r="A5" s="2">
        <f>A4+1</f>
        <v>3</v>
      </c>
      <c r="B5" s="3" t="s">
        <v>141</v>
      </c>
      <c r="C5" s="3" t="s">
        <v>142</v>
      </c>
      <c r="D5" s="3">
        <v>58</v>
      </c>
      <c r="E5" s="3" t="s">
        <v>70</v>
      </c>
      <c r="F5" s="3">
        <v>34</v>
      </c>
      <c r="G5" s="3" t="s">
        <v>15</v>
      </c>
      <c r="H5" s="5">
        <f>(D5/68)*3</f>
        <v>2.5588235294117645</v>
      </c>
      <c r="K5" s="2">
        <f t="shared" si="1"/>
        <v>3</v>
      </c>
      <c r="L5" s="3" t="s">
        <v>16</v>
      </c>
      <c r="M5" s="3" t="s">
        <v>17</v>
      </c>
      <c r="N5" s="3">
        <v>122</v>
      </c>
      <c r="O5" s="3">
        <v>34</v>
      </c>
      <c r="P5" s="3" t="s">
        <v>18</v>
      </c>
      <c r="Q5" s="5">
        <f t="shared" si="0"/>
        <v>3.5882352941176472</v>
      </c>
    </row>
    <row r="6" spans="1:17" ht="18.75" customHeight="1" x14ac:dyDescent="0.3">
      <c r="A6" s="2">
        <f>A5+1</f>
        <v>4</v>
      </c>
      <c r="B6" s="3" t="s">
        <v>13</v>
      </c>
      <c r="C6" s="3" t="s">
        <v>14</v>
      </c>
      <c r="D6" s="3">
        <v>97</v>
      </c>
      <c r="E6" s="3">
        <v>114</v>
      </c>
      <c r="F6" s="3">
        <v>38</v>
      </c>
      <c r="G6" s="3" t="s">
        <v>15</v>
      </c>
      <c r="H6" s="5">
        <f>D6/F6</f>
        <v>2.5526315789473686</v>
      </c>
      <c r="K6" s="2">
        <f t="shared" si="1"/>
        <v>4</v>
      </c>
      <c r="L6" s="3" t="s">
        <v>127</v>
      </c>
      <c r="M6" s="3" t="s">
        <v>72</v>
      </c>
      <c r="N6" s="3">
        <v>92</v>
      </c>
      <c r="O6" s="3">
        <v>26</v>
      </c>
      <c r="P6" s="3" t="s">
        <v>18</v>
      </c>
      <c r="Q6" s="5">
        <f t="shared" si="0"/>
        <v>3.5384615384615383</v>
      </c>
    </row>
    <row r="7" spans="1:17" ht="18.75" customHeight="1" x14ac:dyDescent="0.3">
      <c r="A7" s="2">
        <f>A6</f>
        <v>4</v>
      </c>
      <c r="B7" s="3" t="s">
        <v>127</v>
      </c>
      <c r="C7" s="3" t="s">
        <v>143</v>
      </c>
      <c r="D7" s="3">
        <v>51</v>
      </c>
      <c r="E7" s="3" t="s">
        <v>66</v>
      </c>
      <c r="F7" s="3">
        <v>30</v>
      </c>
      <c r="G7" s="3" t="s">
        <v>15</v>
      </c>
      <c r="H7" s="5">
        <f>(D7/60)*3</f>
        <v>2.5499999999999998</v>
      </c>
      <c r="K7" s="2">
        <f t="shared" si="1"/>
        <v>5</v>
      </c>
      <c r="L7" s="3" t="s">
        <v>372</v>
      </c>
      <c r="M7" s="3" t="s">
        <v>144</v>
      </c>
      <c r="N7" s="3">
        <v>120</v>
      </c>
      <c r="O7" s="3">
        <v>34</v>
      </c>
      <c r="P7" s="3" t="s">
        <v>15</v>
      </c>
      <c r="Q7" s="5">
        <f t="shared" si="0"/>
        <v>3.5294117647058822</v>
      </c>
    </row>
    <row r="8" spans="1:17" ht="18.75" customHeight="1" x14ac:dyDescent="0.3">
      <c r="A8" s="2">
        <f>A6+2</f>
        <v>6</v>
      </c>
      <c r="B8" s="3" t="s">
        <v>19</v>
      </c>
      <c r="C8" s="3" t="s">
        <v>20</v>
      </c>
      <c r="D8" s="3">
        <v>96</v>
      </c>
      <c r="E8" s="3">
        <v>114</v>
      </c>
      <c r="F8" s="3">
        <v>38</v>
      </c>
      <c r="G8" s="3" t="s">
        <v>15</v>
      </c>
      <c r="H8" s="5">
        <f>D8/F8</f>
        <v>2.5263157894736841</v>
      </c>
      <c r="K8" s="2">
        <f t="shared" si="1"/>
        <v>6</v>
      </c>
      <c r="L8" s="3" t="s">
        <v>372</v>
      </c>
      <c r="M8" s="3" t="s">
        <v>14</v>
      </c>
      <c r="N8" s="3">
        <v>119</v>
      </c>
      <c r="O8" s="3">
        <v>34</v>
      </c>
      <c r="P8" s="3" t="s">
        <v>18</v>
      </c>
      <c r="Q8" s="5">
        <f t="shared" si="0"/>
        <v>3.5</v>
      </c>
    </row>
    <row r="9" spans="1:17" ht="18.75" customHeight="1" x14ac:dyDescent="0.3">
      <c r="A9" s="2">
        <f>A8</f>
        <v>6</v>
      </c>
      <c r="B9" s="3" t="s">
        <v>128</v>
      </c>
      <c r="C9" s="3" t="s">
        <v>30</v>
      </c>
      <c r="D9" s="3">
        <v>86</v>
      </c>
      <c r="E9" s="3">
        <v>102</v>
      </c>
      <c r="F9" s="3">
        <v>34</v>
      </c>
      <c r="G9" s="3" t="s">
        <v>15</v>
      </c>
      <c r="H9" s="5">
        <f>D9/F9</f>
        <v>2.5294117647058822</v>
      </c>
      <c r="K9" s="2">
        <f t="shared" si="1"/>
        <v>7</v>
      </c>
      <c r="L9" s="3" t="s">
        <v>130</v>
      </c>
      <c r="M9" s="3" t="s">
        <v>82</v>
      </c>
      <c r="N9" s="3">
        <v>117</v>
      </c>
      <c r="O9" s="3">
        <v>34</v>
      </c>
      <c r="P9" s="3" t="s">
        <v>18</v>
      </c>
      <c r="Q9" s="5">
        <f t="shared" si="0"/>
        <v>3.4411764705882355</v>
      </c>
    </row>
    <row r="10" spans="1:17" ht="18.75" customHeight="1" x14ac:dyDescent="0.3">
      <c r="A10" s="2">
        <f>A8+2</f>
        <v>8</v>
      </c>
      <c r="B10" s="3" t="s">
        <v>64</v>
      </c>
      <c r="C10" s="3" t="s">
        <v>65</v>
      </c>
      <c r="D10" s="3">
        <v>50</v>
      </c>
      <c r="E10" s="3" t="s">
        <v>66</v>
      </c>
      <c r="F10" s="3">
        <v>30</v>
      </c>
      <c r="G10" s="3" t="s">
        <v>15</v>
      </c>
      <c r="H10" s="5">
        <f>(D10/60)*3</f>
        <v>2.5</v>
      </c>
      <c r="K10" s="2">
        <f>K9</f>
        <v>7</v>
      </c>
      <c r="L10" s="3" t="s">
        <v>372</v>
      </c>
      <c r="M10" s="3" t="s">
        <v>83</v>
      </c>
      <c r="N10" s="3">
        <v>117</v>
      </c>
      <c r="O10" s="3">
        <v>34</v>
      </c>
      <c r="P10" s="3" t="s">
        <v>18</v>
      </c>
      <c r="Q10" s="5">
        <f t="shared" si="0"/>
        <v>3.4411764705882355</v>
      </c>
    </row>
    <row r="11" spans="1:17" ht="18.75" customHeight="1" x14ac:dyDescent="0.3">
      <c r="A11" s="2">
        <f>A10</f>
        <v>8</v>
      </c>
      <c r="B11" s="3" t="s">
        <v>372</v>
      </c>
      <c r="C11" s="3" t="s">
        <v>20</v>
      </c>
      <c r="D11" s="3">
        <v>85</v>
      </c>
      <c r="E11" s="3">
        <v>102</v>
      </c>
      <c r="F11" s="3">
        <v>34</v>
      </c>
      <c r="G11" s="3" t="s">
        <v>15</v>
      </c>
      <c r="H11" s="5">
        <f>D11/F11</f>
        <v>2.5</v>
      </c>
      <c r="K11" s="2">
        <f>K10+2</f>
        <v>9</v>
      </c>
      <c r="L11" s="3" t="s">
        <v>145</v>
      </c>
      <c r="M11" s="3">
        <v>1968</v>
      </c>
      <c r="N11" s="3">
        <v>102</v>
      </c>
      <c r="O11" s="3">
        <v>30</v>
      </c>
      <c r="P11" s="3" t="s">
        <v>15</v>
      </c>
      <c r="Q11" s="5">
        <f t="shared" si="0"/>
        <v>3.4</v>
      </c>
    </row>
    <row r="12" spans="1:17" ht="18.75" customHeight="1" x14ac:dyDescent="0.3">
      <c r="A12" s="2">
        <f>A11</f>
        <v>8</v>
      </c>
      <c r="B12" s="3" t="s">
        <v>131</v>
      </c>
      <c r="C12" s="3" t="s">
        <v>54</v>
      </c>
      <c r="D12" s="3">
        <v>85</v>
      </c>
      <c r="E12" s="3">
        <v>102</v>
      </c>
      <c r="F12" s="3">
        <v>34</v>
      </c>
      <c r="G12" s="3" t="s">
        <v>15</v>
      </c>
      <c r="H12" s="5">
        <f>D12/F12</f>
        <v>2.5</v>
      </c>
      <c r="K12" s="2">
        <f t="shared" ref="K12:K17" si="2">K11+1</f>
        <v>10</v>
      </c>
      <c r="L12" s="3" t="s">
        <v>127</v>
      </c>
      <c r="M12" s="3" t="s">
        <v>146</v>
      </c>
      <c r="N12" s="3">
        <v>88</v>
      </c>
      <c r="O12" s="3">
        <v>26</v>
      </c>
      <c r="P12" s="3" t="s">
        <v>18</v>
      </c>
      <c r="Q12" s="5">
        <f t="shared" si="0"/>
        <v>3.3846153846153846</v>
      </c>
    </row>
    <row r="13" spans="1:17" ht="18.75" customHeight="1" x14ac:dyDescent="0.3">
      <c r="A13" s="2">
        <f>A12</f>
        <v>8</v>
      </c>
      <c r="B13" s="3" t="s">
        <v>132</v>
      </c>
      <c r="C13" s="3" t="s">
        <v>26</v>
      </c>
      <c r="D13" s="3">
        <v>85</v>
      </c>
      <c r="E13" s="3">
        <v>102</v>
      </c>
      <c r="F13" s="3">
        <v>34</v>
      </c>
      <c r="G13" s="3" t="s">
        <v>15</v>
      </c>
      <c r="H13" s="5">
        <f>D13/F13</f>
        <v>2.5</v>
      </c>
      <c r="K13" s="2">
        <f t="shared" si="2"/>
        <v>11</v>
      </c>
      <c r="L13" s="3" t="s">
        <v>127</v>
      </c>
      <c r="M13" s="3" t="s">
        <v>142</v>
      </c>
      <c r="N13" s="3">
        <v>101</v>
      </c>
      <c r="O13" s="3">
        <v>30</v>
      </c>
      <c r="P13" s="3" t="s">
        <v>18</v>
      </c>
      <c r="Q13" s="5">
        <f t="shared" si="0"/>
        <v>3.3666666666666667</v>
      </c>
    </row>
    <row r="14" spans="1:17" ht="18.75" customHeight="1" x14ac:dyDescent="0.3">
      <c r="A14" s="2">
        <f>A13</f>
        <v>8</v>
      </c>
      <c r="B14" s="3" t="s">
        <v>131</v>
      </c>
      <c r="C14" s="3" t="s">
        <v>14</v>
      </c>
      <c r="D14" s="3">
        <v>85</v>
      </c>
      <c r="E14" s="3">
        <v>102</v>
      </c>
      <c r="F14" s="3">
        <v>34</v>
      </c>
      <c r="G14" s="3" t="s">
        <v>15</v>
      </c>
      <c r="H14" s="5">
        <f>D14/F14</f>
        <v>2.5</v>
      </c>
      <c r="K14" s="2">
        <f t="shared" si="2"/>
        <v>12</v>
      </c>
      <c r="L14" s="3" t="s">
        <v>131</v>
      </c>
      <c r="M14" s="3" t="s">
        <v>147</v>
      </c>
      <c r="N14" s="3">
        <v>86</v>
      </c>
      <c r="O14" s="3">
        <v>26</v>
      </c>
      <c r="P14" s="3" t="s">
        <v>18</v>
      </c>
      <c r="Q14" s="5">
        <f t="shared" si="0"/>
        <v>3.3076923076923075</v>
      </c>
    </row>
    <row r="15" spans="1:17" ht="18.75" customHeight="1" x14ac:dyDescent="0.3">
      <c r="A15" s="2">
        <f>A14</f>
        <v>8</v>
      </c>
      <c r="B15" s="3" t="s">
        <v>131</v>
      </c>
      <c r="C15" s="3" t="s">
        <v>121</v>
      </c>
      <c r="D15" s="3">
        <v>50</v>
      </c>
      <c r="E15" s="3" t="s">
        <v>66</v>
      </c>
      <c r="F15" s="3">
        <v>30</v>
      </c>
      <c r="G15" s="3" t="s">
        <v>15</v>
      </c>
      <c r="H15" s="5">
        <f>(D15/60)*3</f>
        <v>2.5</v>
      </c>
      <c r="K15" s="2">
        <f t="shared" si="2"/>
        <v>13</v>
      </c>
      <c r="L15" s="3" t="s">
        <v>372</v>
      </c>
      <c r="M15" s="3" t="s">
        <v>129</v>
      </c>
      <c r="N15" s="3">
        <v>112</v>
      </c>
      <c r="O15" s="3">
        <v>34</v>
      </c>
      <c r="P15" s="3" t="s">
        <v>18</v>
      </c>
      <c r="Q15" s="5">
        <f t="shared" si="0"/>
        <v>3.2941176470588234</v>
      </c>
    </row>
    <row r="16" spans="1:17" ht="18.75" customHeight="1" x14ac:dyDescent="0.3">
      <c r="A16" s="2">
        <f>A15+6</f>
        <v>14</v>
      </c>
      <c r="B16" s="3" t="s">
        <v>132</v>
      </c>
      <c r="C16" s="3" t="s">
        <v>68</v>
      </c>
      <c r="D16" s="3">
        <v>43</v>
      </c>
      <c r="E16" s="3" t="s">
        <v>148</v>
      </c>
      <c r="F16" s="3">
        <v>26</v>
      </c>
      <c r="G16" s="3" t="s">
        <v>15</v>
      </c>
      <c r="H16" s="5">
        <f>(D16/52)*3</f>
        <v>2.4807692307692308</v>
      </c>
      <c r="K16" s="2">
        <f t="shared" si="2"/>
        <v>14</v>
      </c>
      <c r="L16" s="3" t="s">
        <v>149</v>
      </c>
      <c r="M16" s="3">
        <v>1957</v>
      </c>
      <c r="N16" s="3">
        <v>36</v>
      </c>
      <c r="O16" s="3">
        <v>11</v>
      </c>
      <c r="P16" s="3" t="s">
        <v>18</v>
      </c>
      <c r="Q16" s="5">
        <f t="shared" si="0"/>
        <v>3.2727272727272729</v>
      </c>
    </row>
    <row r="17" spans="1:17" ht="18.75" customHeight="1" x14ac:dyDescent="0.3">
      <c r="A17" s="2">
        <f>A16</f>
        <v>14</v>
      </c>
      <c r="B17" s="3" t="s">
        <v>127</v>
      </c>
      <c r="C17" s="3" t="s">
        <v>73</v>
      </c>
      <c r="D17" s="3">
        <v>43</v>
      </c>
      <c r="E17" s="3" t="s">
        <v>148</v>
      </c>
      <c r="F17" s="3">
        <v>26</v>
      </c>
      <c r="G17" s="3" t="s">
        <v>15</v>
      </c>
      <c r="H17" s="5">
        <f>(D17/52)*3</f>
        <v>2.4807692307692308</v>
      </c>
      <c r="K17" s="2">
        <f t="shared" si="2"/>
        <v>15</v>
      </c>
      <c r="L17" s="3" t="s">
        <v>130</v>
      </c>
      <c r="M17" s="3" t="s">
        <v>35</v>
      </c>
      <c r="N17" s="3">
        <v>111</v>
      </c>
      <c r="O17" s="3">
        <v>34</v>
      </c>
      <c r="P17" s="3" t="s">
        <v>18</v>
      </c>
      <c r="Q17" s="5">
        <f t="shared" si="0"/>
        <v>3.2647058823529411</v>
      </c>
    </row>
    <row r="18" spans="1:17" ht="18.75" customHeight="1" x14ac:dyDescent="0.3">
      <c r="A18" s="2">
        <f>A16</f>
        <v>14</v>
      </c>
      <c r="B18" s="3" t="s">
        <v>131</v>
      </c>
      <c r="C18" s="3" t="s">
        <v>150</v>
      </c>
      <c r="D18" s="3">
        <v>43</v>
      </c>
      <c r="E18" s="3" t="s">
        <v>148</v>
      </c>
      <c r="F18" s="3">
        <v>26</v>
      </c>
      <c r="G18" s="3" t="s">
        <v>15</v>
      </c>
      <c r="H18" s="5">
        <f>(D18/52)*3</f>
        <v>2.4807692307692308</v>
      </c>
    </row>
    <row r="22" spans="1:17" ht="18.75" customHeight="1" x14ac:dyDescent="0.3">
      <c r="A22" s="21" t="s">
        <v>151</v>
      </c>
      <c r="B22" s="20"/>
      <c r="C22" s="20"/>
      <c r="D22" s="20"/>
      <c r="E22" s="20"/>
      <c r="F22" s="20"/>
      <c r="G22" s="20"/>
      <c r="H22" s="20"/>
      <c r="K22" s="22" t="s">
        <v>152</v>
      </c>
      <c r="L22" s="15"/>
      <c r="M22" s="15"/>
      <c r="N22" s="15"/>
      <c r="O22" s="15"/>
      <c r="P22" s="15"/>
      <c r="Q22" s="15"/>
    </row>
    <row r="23" spans="1:17" ht="18.75" customHeight="1" x14ac:dyDescent="0.3">
      <c r="A23" s="2" t="s">
        <v>4</v>
      </c>
      <c r="B23" s="2" t="s">
        <v>5</v>
      </c>
      <c r="C23" s="2" t="s">
        <v>6</v>
      </c>
      <c r="D23" s="2" t="s">
        <v>7</v>
      </c>
      <c r="E23" s="2" t="s">
        <v>62</v>
      </c>
      <c r="F23" s="2" t="s">
        <v>8</v>
      </c>
      <c r="G23" s="2" t="s">
        <v>9</v>
      </c>
      <c r="H23" s="2" t="s">
        <v>366</v>
      </c>
      <c r="K23" s="2" t="s">
        <v>4</v>
      </c>
      <c r="L23" s="2" t="s">
        <v>5</v>
      </c>
      <c r="M23" s="2" t="s">
        <v>6</v>
      </c>
      <c r="N23" s="2" t="s">
        <v>201</v>
      </c>
      <c r="O23" s="2" t="s">
        <v>8</v>
      </c>
      <c r="P23" s="2" t="s">
        <v>9</v>
      </c>
      <c r="Q23" s="2" t="s">
        <v>202</v>
      </c>
    </row>
    <row r="24" spans="1:17" ht="18.75" customHeight="1" x14ac:dyDescent="0.3">
      <c r="A24" s="2">
        <v>1</v>
      </c>
      <c r="B24" s="3" t="s">
        <v>127</v>
      </c>
      <c r="C24" s="3" t="s">
        <v>142</v>
      </c>
      <c r="D24" s="3">
        <v>58</v>
      </c>
      <c r="E24" s="3" t="s">
        <v>66</v>
      </c>
      <c r="F24" s="3">
        <v>30</v>
      </c>
      <c r="G24" s="3" t="s">
        <v>18</v>
      </c>
      <c r="H24" s="5">
        <f>(D24/60)*3</f>
        <v>2.9</v>
      </c>
      <c r="K24" s="2">
        <v>1</v>
      </c>
      <c r="L24" s="3" t="s">
        <v>131</v>
      </c>
      <c r="M24" s="3" t="s">
        <v>153</v>
      </c>
      <c r="N24" s="3">
        <v>9</v>
      </c>
      <c r="O24" s="3">
        <v>30</v>
      </c>
      <c r="P24" s="3" t="s">
        <v>15</v>
      </c>
      <c r="Q24" s="5">
        <f t="shared" ref="Q24:Q39" si="3">N24/O24</f>
        <v>0.3</v>
      </c>
    </row>
    <row r="25" spans="1:17" ht="18.75" customHeight="1" x14ac:dyDescent="0.3">
      <c r="A25" s="2">
        <f>A24+1</f>
        <v>2</v>
      </c>
      <c r="B25" s="3" t="s">
        <v>131</v>
      </c>
      <c r="C25" s="3" t="s">
        <v>22</v>
      </c>
      <c r="D25" s="3">
        <v>84</v>
      </c>
      <c r="E25" s="3">
        <v>90</v>
      </c>
      <c r="F25" s="3">
        <v>30</v>
      </c>
      <c r="G25" s="3" t="s">
        <v>18</v>
      </c>
      <c r="H25" s="5">
        <f>D25/F25</f>
        <v>2.8</v>
      </c>
      <c r="K25" s="2">
        <f>K24</f>
        <v>1</v>
      </c>
      <c r="L25" s="3" t="s">
        <v>131</v>
      </c>
      <c r="M25" s="3" t="s">
        <v>121</v>
      </c>
      <c r="N25" s="3">
        <v>9</v>
      </c>
      <c r="O25" s="3">
        <v>30</v>
      </c>
      <c r="P25" s="3" t="s">
        <v>15</v>
      </c>
      <c r="Q25" s="5">
        <f t="shared" si="3"/>
        <v>0.3</v>
      </c>
    </row>
    <row r="26" spans="1:17" ht="18.75" customHeight="1" x14ac:dyDescent="0.3">
      <c r="A26" s="2">
        <f>A25+1</f>
        <v>3</v>
      </c>
      <c r="B26" s="3" t="s">
        <v>372</v>
      </c>
      <c r="C26" s="3" t="s">
        <v>71</v>
      </c>
      <c r="D26" s="3">
        <v>63</v>
      </c>
      <c r="E26" s="3" t="s">
        <v>70</v>
      </c>
      <c r="F26" s="3">
        <v>34</v>
      </c>
      <c r="G26" s="3" t="s">
        <v>18</v>
      </c>
      <c r="H26" s="5">
        <f>(D26/68)*3</f>
        <v>2.7794117647058822</v>
      </c>
      <c r="K26" s="2">
        <f>K25+2</f>
        <v>3</v>
      </c>
      <c r="L26" s="3" t="s">
        <v>131</v>
      </c>
      <c r="M26" s="3" t="s">
        <v>154</v>
      </c>
      <c r="N26" s="3">
        <v>11</v>
      </c>
      <c r="O26" s="3">
        <v>34</v>
      </c>
      <c r="P26" s="3" t="s">
        <v>18</v>
      </c>
      <c r="Q26" s="5">
        <f t="shared" si="3"/>
        <v>0.3235294117647059</v>
      </c>
    </row>
    <row r="27" spans="1:17" ht="18.75" customHeight="1" x14ac:dyDescent="0.3">
      <c r="A27" s="2">
        <f>A26+1</f>
        <v>4</v>
      </c>
      <c r="B27" s="3" t="s">
        <v>127</v>
      </c>
      <c r="C27" s="3" t="s">
        <v>155</v>
      </c>
      <c r="D27" s="3">
        <v>48</v>
      </c>
      <c r="E27" s="3" t="s">
        <v>148</v>
      </c>
      <c r="F27" s="3">
        <v>26</v>
      </c>
      <c r="G27" s="3" t="s">
        <v>18</v>
      </c>
      <c r="H27" s="5">
        <f>(D27/52)*3</f>
        <v>2.7692307692307692</v>
      </c>
      <c r="K27" s="2">
        <f>K26+1</f>
        <v>4</v>
      </c>
      <c r="L27" s="3" t="s">
        <v>76</v>
      </c>
      <c r="M27" s="3" t="s">
        <v>77</v>
      </c>
      <c r="N27" s="3">
        <v>11</v>
      </c>
      <c r="O27" s="3">
        <v>30</v>
      </c>
      <c r="P27" s="3" t="s">
        <v>18</v>
      </c>
      <c r="Q27" s="8">
        <f t="shared" si="3"/>
        <v>0.36666666666666664</v>
      </c>
    </row>
    <row r="28" spans="1:17" ht="18.75" customHeight="1" x14ac:dyDescent="0.3">
      <c r="A28" s="2">
        <f>A27+1</f>
        <v>5</v>
      </c>
      <c r="B28" s="3" t="s">
        <v>131</v>
      </c>
      <c r="C28" s="3" t="s">
        <v>156</v>
      </c>
      <c r="D28" s="3">
        <v>55</v>
      </c>
      <c r="E28" s="3" t="s">
        <v>66</v>
      </c>
      <c r="F28" s="3">
        <v>30</v>
      </c>
      <c r="G28" s="3" t="s">
        <v>18</v>
      </c>
      <c r="H28" s="5">
        <f>(D28/60)*3</f>
        <v>2.75</v>
      </c>
      <c r="K28" s="2">
        <f>K27</f>
        <v>4</v>
      </c>
      <c r="L28" s="3" t="s">
        <v>127</v>
      </c>
      <c r="M28" s="3" t="s">
        <v>143</v>
      </c>
      <c r="N28" s="3">
        <v>11</v>
      </c>
      <c r="O28" s="3">
        <v>30</v>
      </c>
      <c r="P28" s="3" t="s">
        <v>15</v>
      </c>
      <c r="Q28" s="5">
        <f t="shared" si="3"/>
        <v>0.36666666666666664</v>
      </c>
    </row>
    <row r="29" spans="1:17" ht="18.75" customHeight="1" x14ac:dyDescent="0.3">
      <c r="A29" s="2">
        <f>A28</f>
        <v>5</v>
      </c>
      <c r="B29" s="3" t="s">
        <v>127</v>
      </c>
      <c r="C29" s="3" t="s">
        <v>71</v>
      </c>
      <c r="D29" s="3">
        <v>55</v>
      </c>
      <c r="E29" s="3" t="s">
        <v>66</v>
      </c>
      <c r="F29" s="3">
        <v>30</v>
      </c>
      <c r="G29" s="3" t="s">
        <v>18</v>
      </c>
      <c r="H29" s="5">
        <f>(D29/60)*3</f>
        <v>2.75</v>
      </c>
      <c r="K29" s="2">
        <f>K27+2</f>
        <v>6</v>
      </c>
      <c r="L29" s="3" t="s">
        <v>13</v>
      </c>
      <c r="M29" s="3" t="s">
        <v>78</v>
      </c>
      <c r="N29" s="3">
        <v>16</v>
      </c>
      <c r="O29" s="3">
        <v>42</v>
      </c>
      <c r="P29" s="3" t="s">
        <v>18</v>
      </c>
      <c r="Q29" s="5">
        <f t="shared" si="3"/>
        <v>0.38095238095238093</v>
      </c>
    </row>
    <row r="30" spans="1:17" ht="18.75" customHeight="1" x14ac:dyDescent="0.3">
      <c r="A30" s="2">
        <f>A29+2</f>
        <v>7</v>
      </c>
      <c r="B30" s="3" t="s">
        <v>131</v>
      </c>
      <c r="C30" s="3" t="s">
        <v>157</v>
      </c>
      <c r="D30" s="3">
        <v>62</v>
      </c>
      <c r="E30" s="3" t="s">
        <v>70</v>
      </c>
      <c r="F30" s="3">
        <v>34</v>
      </c>
      <c r="G30" s="3" t="s">
        <v>18</v>
      </c>
      <c r="H30" s="5">
        <f>(D30/68)*3</f>
        <v>2.7352941176470589</v>
      </c>
      <c r="K30" s="2">
        <f>K29</f>
        <v>6</v>
      </c>
      <c r="L30" s="3" t="s">
        <v>158</v>
      </c>
      <c r="M30" s="3" t="s">
        <v>71</v>
      </c>
      <c r="N30" s="3">
        <v>13</v>
      </c>
      <c r="O30" s="3">
        <v>34</v>
      </c>
      <c r="P30" s="3" t="s">
        <v>44</v>
      </c>
      <c r="Q30" s="5">
        <f t="shared" si="3"/>
        <v>0.38235294117647056</v>
      </c>
    </row>
    <row r="31" spans="1:17" ht="18.75" customHeight="1" x14ac:dyDescent="0.3">
      <c r="A31" s="2">
        <f>A30+1</f>
        <v>8</v>
      </c>
      <c r="B31" s="3" t="s">
        <v>127</v>
      </c>
      <c r="C31" s="3" t="s">
        <v>84</v>
      </c>
      <c r="D31" s="3">
        <v>69</v>
      </c>
      <c r="E31" s="3" t="s">
        <v>111</v>
      </c>
      <c r="F31" s="3">
        <v>38</v>
      </c>
      <c r="G31" s="3" t="s">
        <v>18</v>
      </c>
      <c r="H31" s="5">
        <f>(D31/76)*3</f>
        <v>2.7236842105263159</v>
      </c>
      <c r="K31" s="2">
        <f>K30</f>
        <v>6</v>
      </c>
      <c r="L31" s="3" t="s">
        <v>131</v>
      </c>
      <c r="M31" s="3" t="s">
        <v>23</v>
      </c>
      <c r="N31" s="3">
        <v>13</v>
      </c>
      <c r="O31" s="3">
        <v>34</v>
      </c>
      <c r="P31" s="3" t="s">
        <v>15</v>
      </c>
      <c r="Q31" s="5">
        <f t="shared" si="3"/>
        <v>0.38235294117647056</v>
      </c>
    </row>
    <row r="32" spans="1:17" ht="18.75" customHeight="1" x14ac:dyDescent="0.3">
      <c r="A32" s="2">
        <f>A31+1</f>
        <v>9</v>
      </c>
      <c r="B32" s="3" t="s">
        <v>372</v>
      </c>
      <c r="C32" s="3" t="s">
        <v>157</v>
      </c>
      <c r="D32" s="3">
        <v>61</v>
      </c>
      <c r="E32" s="3" t="s">
        <v>70</v>
      </c>
      <c r="F32" s="3">
        <v>34</v>
      </c>
      <c r="G32" s="3" t="s">
        <v>18</v>
      </c>
      <c r="H32" s="5">
        <f>(D32/68)*3</f>
        <v>2.6911764705882355</v>
      </c>
      <c r="K32" s="2">
        <f>K29+3</f>
        <v>9</v>
      </c>
      <c r="L32" s="3" t="s">
        <v>48</v>
      </c>
      <c r="M32" s="3" t="s">
        <v>49</v>
      </c>
      <c r="N32" s="3">
        <v>15</v>
      </c>
      <c r="O32" s="3">
        <v>38</v>
      </c>
      <c r="P32" s="3" t="s">
        <v>18</v>
      </c>
      <c r="Q32" s="5">
        <f t="shared" si="3"/>
        <v>0.39473684210526316</v>
      </c>
    </row>
    <row r="33" spans="1:17" ht="18.75" customHeight="1" x14ac:dyDescent="0.3">
      <c r="A33" s="2">
        <f>A32+1</f>
        <v>10</v>
      </c>
      <c r="B33" s="3" t="s">
        <v>367</v>
      </c>
      <c r="C33" s="3" t="s">
        <v>40</v>
      </c>
      <c r="D33" s="3">
        <v>102</v>
      </c>
      <c r="E33" s="3">
        <v>114</v>
      </c>
      <c r="F33" s="3">
        <v>38</v>
      </c>
      <c r="G33" s="3" t="s">
        <v>18</v>
      </c>
      <c r="H33" s="5">
        <f>D33/F33</f>
        <v>2.6842105263157894</v>
      </c>
      <c r="K33" s="2">
        <f>K32</f>
        <v>9</v>
      </c>
      <c r="L33" s="3" t="s">
        <v>127</v>
      </c>
      <c r="M33" s="3" t="s">
        <v>85</v>
      </c>
      <c r="N33" s="3">
        <v>15</v>
      </c>
      <c r="O33" s="3">
        <v>38</v>
      </c>
      <c r="P33" s="3" t="s">
        <v>18</v>
      </c>
      <c r="Q33" s="5">
        <f t="shared" si="3"/>
        <v>0.39473684210526316</v>
      </c>
    </row>
    <row r="34" spans="1:17" ht="18.75" customHeight="1" x14ac:dyDescent="0.3">
      <c r="A34" s="2">
        <f>A33</f>
        <v>10</v>
      </c>
      <c r="B34" s="3" t="s">
        <v>16</v>
      </c>
      <c r="C34" s="3" t="s">
        <v>27</v>
      </c>
      <c r="D34" s="3">
        <v>91</v>
      </c>
      <c r="E34" s="3">
        <v>102</v>
      </c>
      <c r="F34" s="3">
        <v>34</v>
      </c>
      <c r="G34" s="3" t="s">
        <v>18</v>
      </c>
      <c r="H34" s="5">
        <f>D34/F34</f>
        <v>2.6764705882352939</v>
      </c>
      <c r="K34" s="2">
        <f>K33</f>
        <v>9</v>
      </c>
      <c r="L34" s="3" t="s">
        <v>131</v>
      </c>
      <c r="M34" s="3" t="s">
        <v>82</v>
      </c>
      <c r="N34" s="3">
        <v>15</v>
      </c>
      <c r="O34" s="3">
        <v>38</v>
      </c>
      <c r="P34" s="3" t="s">
        <v>18</v>
      </c>
      <c r="Q34" s="5">
        <f t="shared" si="3"/>
        <v>0.39473684210526316</v>
      </c>
    </row>
    <row r="35" spans="1:17" ht="18.75" customHeight="1" x14ac:dyDescent="0.3">
      <c r="A35" s="2">
        <f>A34</f>
        <v>10</v>
      </c>
      <c r="B35" s="3" t="s">
        <v>130</v>
      </c>
      <c r="C35" s="3" t="s">
        <v>35</v>
      </c>
      <c r="D35" s="3">
        <v>91</v>
      </c>
      <c r="E35" s="3">
        <v>102</v>
      </c>
      <c r="F35" s="3">
        <v>34</v>
      </c>
      <c r="G35" s="3" t="s">
        <v>18</v>
      </c>
      <c r="H35" s="5">
        <f>(D35/102)*3</f>
        <v>2.6764705882352944</v>
      </c>
      <c r="K35" s="2">
        <f>K34+3</f>
        <v>12</v>
      </c>
      <c r="L35" s="3" t="s">
        <v>79</v>
      </c>
      <c r="M35" s="3" t="s">
        <v>80</v>
      </c>
      <c r="N35" s="3">
        <v>12</v>
      </c>
      <c r="O35" s="3">
        <v>30</v>
      </c>
      <c r="P35" s="3" t="s">
        <v>44</v>
      </c>
      <c r="Q35" s="8">
        <f t="shared" si="3"/>
        <v>0.4</v>
      </c>
    </row>
    <row r="36" spans="1:17" ht="18.75" customHeight="1" x14ac:dyDescent="0.3">
      <c r="A36" s="2">
        <f>A35</f>
        <v>10</v>
      </c>
      <c r="B36" s="3" t="s">
        <v>131</v>
      </c>
      <c r="C36" s="3" t="s">
        <v>26</v>
      </c>
      <c r="D36" s="3">
        <v>91</v>
      </c>
      <c r="E36" s="3">
        <v>102</v>
      </c>
      <c r="F36" s="3">
        <v>34</v>
      </c>
      <c r="G36" s="3" t="s">
        <v>18</v>
      </c>
      <c r="H36" s="5">
        <f>D36/F36</f>
        <v>2.6764705882352939</v>
      </c>
      <c r="K36" s="2">
        <f>K35+1</f>
        <v>13</v>
      </c>
      <c r="L36" s="3" t="s">
        <v>131</v>
      </c>
      <c r="M36" s="3" t="s">
        <v>59</v>
      </c>
      <c r="N36" s="3">
        <v>13</v>
      </c>
      <c r="O36" s="3">
        <v>30</v>
      </c>
      <c r="P36" s="3" t="s">
        <v>18</v>
      </c>
      <c r="Q36" s="5">
        <f t="shared" si="3"/>
        <v>0.43333333333333335</v>
      </c>
    </row>
    <row r="37" spans="1:17" ht="18.75" customHeight="1" x14ac:dyDescent="0.3">
      <c r="A37" s="2">
        <f>A36+4</f>
        <v>14</v>
      </c>
      <c r="B37" s="3" t="s">
        <v>132</v>
      </c>
      <c r="C37" s="3" t="s">
        <v>77</v>
      </c>
      <c r="D37" s="3">
        <v>46</v>
      </c>
      <c r="E37" s="3" t="s">
        <v>148</v>
      </c>
      <c r="F37" s="3">
        <v>26</v>
      </c>
      <c r="G37" s="3" t="s">
        <v>18</v>
      </c>
      <c r="H37" s="5">
        <f>(D37/52)*3</f>
        <v>2.6538461538461537</v>
      </c>
      <c r="K37" s="2">
        <f>K36</f>
        <v>13</v>
      </c>
      <c r="L37" s="3" t="s">
        <v>127</v>
      </c>
      <c r="M37" s="3" t="s">
        <v>142</v>
      </c>
      <c r="N37" s="3">
        <v>13</v>
      </c>
      <c r="O37" s="3">
        <v>30</v>
      </c>
      <c r="P37" s="3" t="s">
        <v>18</v>
      </c>
      <c r="Q37" s="5">
        <f t="shared" si="3"/>
        <v>0.43333333333333335</v>
      </c>
    </row>
    <row r="38" spans="1:17" ht="18.75" customHeight="1" x14ac:dyDescent="0.3">
      <c r="A38" s="2">
        <f>A37</f>
        <v>14</v>
      </c>
      <c r="B38" s="3" t="s">
        <v>127</v>
      </c>
      <c r="C38" s="3" t="s">
        <v>69</v>
      </c>
      <c r="D38" s="3">
        <v>46</v>
      </c>
      <c r="E38" s="3" t="s">
        <v>148</v>
      </c>
      <c r="F38" s="3">
        <v>26</v>
      </c>
      <c r="G38" s="3" t="s">
        <v>18</v>
      </c>
      <c r="H38" s="5">
        <f>(D38/52)*3</f>
        <v>2.6538461538461537</v>
      </c>
      <c r="K38" s="2">
        <f>K36</f>
        <v>13</v>
      </c>
      <c r="L38" s="3" t="s">
        <v>131</v>
      </c>
      <c r="M38" s="3" t="s">
        <v>156</v>
      </c>
      <c r="N38" s="3">
        <v>13</v>
      </c>
      <c r="O38" s="3">
        <v>30</v>
      </c>
      <c r="P38" s="3" t="s">
        <v>18</v>
      </c>
      <c r="Q38" s="5">
        <f t="shared" si="3"/>
        <v>0.43333333333333335</v>
      </c>
    </row>
    <row r="39" spans="1:17" ht="18.75" customHeight="1" x14ac:dyDescent="0.3">
      <c r="A39" s="2">
        <f>A37</f>
        <v>14</v>
      </c>
      <c r="B39" s="3" t="s">
        <v>127</v>
      </c>
      <c r="C39" s="3" t="s">
        <v>72</v>
      </c>
      <c r="D39" s="3">
        <v>46</v>
      </c>
      <c r="E39" s="3" t="s">
        <v>148</v>
      </c>
      <c r="F39" s="3">
        <v>26</v>
      </c>
      <c r="G39" s="3" t="s">
        <v>18</v>
      </c>
      <c r="H39" s="5">
        <f>(D39/52)*3</f>
        <v>2.6538461538461537</v>
      </c>
      <c r="K39" s="2">
        <f>K36</f>
        <v>13</v>
      </c>
      <c r="L39" s="3" t="s">
        <v>127</v>
      </c>
      <c r="M39" s="3" t="s">
        <v>144</v>
      </c>
      <c r="N39" s="3">
        <v>13</v>
      </c>
      <c r="O39" s="3">
        <v>30</v>
      </c>
      <c r="P39" s="3" t="s">
        <v>15</v>
      </c>
      <c r="Q39" s="5">
        <f t="shared" si="3"/>
        <v>0.43333333333333335</v>
      </c>
    </row>
  </sheetData>
  <mergeCells count="4">
    <mergeCell ref="K22:Q22"/>
    <mergeCell ref="K1:Q1"/>
    <mergeCell ref="A22:H22"/>
    <mergeCell ref="A1:H1"/>
  </mergeCells>
  <conditionalFormatting sqref="H3:H18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:H15"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6:H18"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4:H25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4:H39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5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6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7:H31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2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3:H34">
    <cfRule type="colorScale" priority="7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5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6:H39">
    <cfRule type="colorScale" priority="7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4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">
    <cfRule type="colorScale" priority="7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:Q10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:Q1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5 Q17">
    <cfRule type="colorScale" priority="7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6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4:Q26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24:Q3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27 Q29 Q32 Q35">
    <cfRule type="colorScale" priority="79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80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28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0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1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3:Q3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6:Q39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7"/>
  <sheetViews>
    <sheetView topLeftCell="B1" workbookViewId="0">
      <selection activeCell="E13" sqref="E13"/>
    </sheetView>
  </sheetViews>
  <sheetFormatPr baseColWidth="10" defaultRowHeight="15" x14ac:dyDescent="0.25"/>
  <cols>
    <col min="1" max="1" width="10.140625" bestFit="1" customWidth="1"/>
    <col min="2" max="2" width="25.42578125" customWidth="1"/>
    <col min="3" max="3" width="13.5703125" bestFit="1" customWidth="1"/>
    <col min="4" max="4" width="14" bestFit="1" customWidth="1"/>
    <col min="5" max="5" width="30.7109375" bestFit="1" customWidth="1"/>
    <col min="6" max="6" width="23.42578125" bestFit="1" customWidth="1"/>
    <col min="7" max="7" width="13.85546875" bestFit="1" customWidth="1"/>
    <col min="8" max="8" width="35.28515625" customWidth="1"/>
    <col min="12" max="12" width="30.140625" customWidth="1"/>
    <col min="13" max="13" width="15.85546875" customWidth="1"/>
    <col min="14" max="14" width="19" bestFit="1" customWidth="1"/>
    <col min="15" max="15" width="23.42578125" bestFit="1" customWidth="1"/>
    <col min="16" max="16" width="13.85546875" bestFit="1" customWidth="1"/>
    <col min="17" max="17" width="33.5703125" bestFit="1" customWidth="1"/>
  </cols>
  <sheetData>
    <row r="1" spans="1:17" ht="18.75" customHeight="1" x14ac:dyDescent="0.3">
      <c r="A1" s="21" t="s">
        <v>159</v>
      </c>
      <c r="B1" s="23"/>
      <c r="C1" s="23"/>
      <c r="D1" s="23"/>
      <c r="E1" s="23"/>
      <c r="F1" s="23"/>
      <c r="G1" s="23"/>
      <c r="H1" s="23"/>
      <c r="K1" s="21" t="s">
        <v>160</v>
      </c>
      <c r="L1" s="20"/>
      <c r="M1" s="20"/>
      <c r="N1" s="20"/>
      <c r="O1" s="20"/>
      <c r="P1" s="20"/>
      <c r="Q1" s="20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366</v>
      </c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</row>
    <row r="3" spans="1:17" ht="18.75" customHeight="1" x14ac:dyDescent="0.3">
      <c r="A3" s="2">
        <v>1</v>
      </c>
      <c r="B3" s="3" t="s">
        <v>132</v>
      </c>
      <c r="C3" s="3" t="s">
        <v>161</v>
      </c>
      <c r="D3" s="3">
        <v>32</v>
      </c>
      <c r="E3" s="3" t="s">
        <v>162</v>
      </c>
      <c r="F3" s="3">
        <v>18</v>
      </c>
      <c r="G3" s="3" t="s">
        <v>15</v>
      </c>
      <c r="H3" s="5">
        <f>(D3/36)*3</f>
        <v>2.6666666666666665</v>
      </c>
      <c r="K3" s="2">
        <f>1</f>
        <v>1</v>
      </c>
      <c r="L3" s="3" t="s">
        <v>163</v>
      </c>
      <c r="M3" s="3" t="s">
        <v>164</v>
      </c>
      <c r="N3" s="3">
        <v>147</v>
      </c>
      <c r="O3" s="3">
        <v>22</v>
      </c>
      <c r="P3" s="3" t="s">
        <v>18</v>
      </c>
      <c r="Q3" s="5">
        <f t="shared" ref="Q3:Q22" si="0">N3/O3</f>
        <v>6.6818181818181817</v>
      </c>
    </row>
    <row r="4" spans="1:17" ht="18.75" customHeight="1" x14ac:dyDescent="0.3">
      <c r="A4" s="2">
        <f>A3+1</f>
        <v>2</v>
      </c>
      <c r="B4" s="3" t="s">
        <v>131</v>
      </c>
      <c r="C4" s="3" t="s">
        <v>84</v>
      </c>
      <c r="D4" s="3">
        <v>67</v>
      </c>
      <c r="E4" s="3" t="s">
        <v>111</v>
      </c>
      <c r="F4" s="3">
        <v>38</v>
      </c>
      <c r="G4" s="3" t="s">
        <v>15</v>
      </c>
      <c r="H4" s="5">
        <f>(D4/76)*3</f>
        <v>2.6447368421052628</v>
      </c>
      <c r="K4" s="2">
        <f t="shared" ref="K4:K12" si="1">K3+1</f>
        <v>2</v>
      </c>
      <c r="L4" s="3" t="s">
        <v>145</v>
      </c>
      <c r="M4" s="3">
        <v>1945</v>
      </c>
      <c r="N4" s="3">
        <v>125</v>
      </c>
      <c r="O4" s="3">
        <v>22</v>
      </c>
      <c r="P4" s="3" t="s">
        <v>18</v>
      </c>
      <c r="Q4" s="5">
        <f t="shared" si="0"/>
        <v>5.6818181818181817</v>
      </c>
    </row>
    <row r="5" spans="1:17" ht="18.75" customHeight="1" x14ac:dyDescent="0.3">
      <c r="A5" s="2">
        <f>A4+1</f>
        <v>3</v>
      </c>
      <c r="B5" s="3" t="s">
        <v>163</v>
      </c>
      <c r="C5" s="3">
        <v>1952</v>
      </c>
      <c r="D5" s="3">
        <v>45</v>
      </c>
      <c r="E5" s="3" t="s">
        <v>148</v>
      </c>
      <c r="F5" s="3">
        <v>26</v>
      </c>
      <c r="G5" s="3" t="s">
        <v>15</v>
      </c>
      <c r="H5" s="5">
        <f>(D5/52)*3</f>
        <v>2.5961538461538463</v>
      </c>
      <c r="K5" s="2">
        <f t="shared" si="1"/>
        <v>3</v>
      </c>
      <c r="L5" s="3" t="s">
        <v>145</v>
      </c>
      <c r="M5" s="3" t="s">
        <v>165</v>
      </c>
      <c r="N5" s="3">
        <v>147</v>
      </c>
      <c r="O5" s="3">
        <v>26</v>
      </c>
      <c r="P5" s="3" t="s">
        <v>18</v>
      </c>
      <c r="Q5" s="5">
        <f t="shared" si="0"/>
        <v>5.6538461538461542</v>
      </c>
    </row>
    <row r="6" spans="1:17" ht="18.75" customHeight="1" x14ac:dyDescent="0.3">
      <c r="A6" s="2">
        <f>A5</f>
        <v>3</v>
      </c>
      <c r="B6" s="3" t="s">
        <v>166</v>
      </c>
      <c r="C6" s="3">
        <v>1905</v>
      </c>
      <c r="D6" s="3">
        <v>26</v>
      </c>
      <c r="E6" s="3" t="s">
        <v>167</v>
      </c>
      <c r="F6" s="3">
        <v>15</v>
      </c>
      <c r="G6" s="3" t="s">
        <v>15</v>
      </c>
      <c r="H6" s="5">
        <f>(D6/30)*3</f>
        <v>2.6</v>
      </c>
      <c r="K6" s="2">
        <f t="shared" si="1"/>
        <v>4</v>
      </c>
      <c r="L6" s="3" t="s">
        <v>168</v>
      </c>
      <c r="M6" s="3" t="s">
        <v>169</v>
      </c>
      <c r="N6" s="3">
        <v>78</v>
      </c>
      <c r="O6" s="3">
        <v>14</v>
      </c>
      <c r="P6" s="3" t="s">
        <v>15</v>
      </c>
      <c r="Q6" s="5">
        <f t="shared" si="0"/>
        <v>5.5714285714285712</v>
      </c>
    </row>
    <row r="7" spans="1:17" ht="18.75" customHeight="1" x14ac:dyDescent="0.3">
      <c r="A7" s="2">
        <f>A6+2</f>
        <v>5</v>
      </c>
      <c r="B7" s="3" t="s">
        <v>145</v>
      </c>
      <c r="C7" s="3">
        <v>1944</v>
      </c>
      <c r="D7" s="3">
        <v>19</v>
      </c>
      <c r="E7" s="3" t="s">
        <v>170</v>
      </c>
      <c r="F7" s="3">
        <v>11</v>
      </c>
      <c r="G7" s="3" t="s">
        <v>15</v>
      </c>
      <c r="H7" s="5">
        <f>(D7/22)*3</f>
        <v>2.5909090909090908</v>
      </c>
      <c r="K7" s="2">
        <f t="shared" si="1"/>
        <v>5</v>
      </c>
      <c r="L7" s="3" t="s">
        <v>163</v>
      </c>
      <c r="M7" s="3" t="s">
        <v>171</v>
      </c>
      <c r="N7" s="3">
        <v>116</v>
      </c>
      <c r="O7" s="3">
        <v>22</v>
      </c>
      <c r="P7" s="3" t="s">
        <v>18</v>
      </c>
      <c r="Q7" s="5">
        <f t="shared" si="0"/>
        <v>5.2727272727272725</v>
      </c>
    </row>
    <row r="8" spans="1:17" ht="18.75" customHeight="1" x14ac:dyDescent="0.3">
      <c r="A8" s="2">
        <f>A7+1</f>
        <v>6</v>
      </c>
      <c r="B8" s="3" t="s">
        <v>127</v>
      </c>
      <c r="C8" s="3" t="s">
        <v>27</v>
      </c>
      <c r="D8" s="3">
        <v>77</v>
      </c>
      <c r="E8" s="3">
        <v>90</v>
      </c>
      <c r="F8" s="3">
        <v>30</v>
      </c>
      <c r="G8" s="3" t="s">
        <v>15</v>
      </c>
      <c r="H8" s="5">
        <f>D8/F8</f>
        <v>2.5666666666666669</v>
      </c>
      <c r="K8" s="2">
        <f t="shared" si="1"/>
        <v>6</v>
      </c>
      <c r="L8" s="3" t="s">
        <v>168</v>
      </c>
      <c r="M8" s="3" t="s">
        <v>172</v>
      </c>
      <c r="N8" s="3">
        <v>83</v>
      </c>
      <c r="O8" s="3">
        <v>16</v>
      </c>
      <c r="P8" s="3" t="s">
        <v>44</v>
      </c>
      <c r="Q8" s="5">
        <f t="shared" si="0"/>
        <v>5.1875</v>
      </c>
    </row>
    <row r="9" spans="1:17" ht="18.75" customHeight="1" x14ac:dyDescent="0.3">
      <c r="A9" s="2">
        <f>A8+1</f>
        <v>7</v>
      </c>
      <c r="B9" s="3" t="s">
        <v>141</v>
      </c>
      <c r="C9" s="3" t="s">
        <v>142</v>
      </c>
      <c r="D9" s="3">
        <v>58</v>
      </c>
      <c r="E9" s="3" t="s">
        <v>70</v>
      </c>
      <c r="F9" s="3">
        <v>34</v>
      </c>
      <c r="G9" s="3" t="s">
        <v>15</v>
      </c>
      <c r="H9" s="5">
        <f>(D9/68)*3</f>
        <v>2.5588235294117645</v>
      </c>
      <c r="K9" s="2">
        <f t="shared" si="1"/>
        <v>7</v>
      </c>
      <c r="L9" s="3" t="s">
        <v>163</v>
      </c>
      <c r="M9" s="3" t="s">
        <v>173</v>
      </c>
      <c r="N9" s="3">
        <v>113</v>
      </c>
      <c r="O9" s="3">
        <v>22</v>
      </c>
      <c r="P9" s="3" t="s">
        <v>18</v>
      </c>
      <c r="Q9" s="5">
        <f t="shared" si="0"/>
        <v>5.1363636363636367</v>
      </c>
    </row>
    <row r="10" spans="1:17" ht="18.75" customHeight="1" x14ac:dyDescent="0.3">
      <c r="A10" s="2">
        <f>A9+1</f>
        <v>8</v>
      </c>
      <c r="B10" s="3" t="s">
        <v>13</v>
      </c>
      <c r="C10" s="3" t="s">
        <v>14</v>
      </c>
      <c r="D10" s="3">
        <v>97</v>
      </c>
      <c r="E10" s="3">
        <v>114</v>
      </c>
      <c r="F10" s="3">
        <v>38</v>
      </c>
      <c r="G10" s="3" t="s">
        <v>15</v>
      </c>
      <c r="H10" s="5">
        <f>D10/F10</f>
        <v>2.5526315789473686</v>
      </c>
      <c r="K10" s="2">
        <f t="shared" si="1"/>
        <v>8</v>
      </c>
      <c r="L10" s="3" t="s">
        <v>166</v>
      </c>
      <c r="M10" s="3" t="s">
        <v>169</v>
      </c>
      <c r="N10" s="3">
        <v>70</v>
      </c>
      <c r="O10" s="3">
        <v>14</v>
      </c>
      <c r="P10" s="3" t="s">
        <v>18</v>
      </c>
      <c r="Q10" s="5">
        <f t="shared" si="0"/>
        <v>5</v>
      </c>
    </row>
    <row r="11" spans="1:17" ht="18.75" customHeight="1" x14ac:dyDescent="0.3">
      <c r="A11" s="2">
        <f>A10</f>
        <v>8</v>
      </c>
      <c r="B11" s="3" t="s">
        <v>127</v>
      </c>
      <c r="C11" s="3" t="s">
        <v>143</v>
      </c>
      <c r="D11" s="3">
        <v>51</v>
      </c>
      <c r="E11" s="3" t="s">
        <v>66</v>
      </c>
      <c r="F11" s="3">
        <v>30</v>
      </c>
      <c r="G11" s="3" t="s">
        <v>15</v>
      </c>
      <c r="H11" s="5">
        <f>(D11/60)*3</f>
        <v>2.5499999999999998</v>
      </c>
      <c r="K11" s="2">
        <f t="shared" si="1"/>
        <v>9</v>
      </c>
      <c r="L11" s="3" t="s">
        <v>132</v>
      </c>
      <c r="M11" s="3" t="s">
        <v>161</v>
      </c>
      <c r="N11" s="3">
        <v>87</v>
      </c>
      <c r="O11" s="3">
        <v>18</v>
      </c>
      <c r="P11" s="3" t="s">
        <v>15</v>
      </c>
      <c r="Q11" s="5">
        <f t="shared" si="0"/>
        <v>4.833333333333333</v>
      </c>
    </row>
    <row r="12" spans="1:17" ht="18.75" customHeight="1" x14ac:dyDescent="0.3">
      <c r="A12" s="2">
        <f>A11+2</f>
        <v>10</v>
      </c>
      <c r="B12" s="3" t="s">
        <v>145</v>
      </c>
      <c r="C12" s="3" t="s">
        <v>174</v>
      </c>
      <c r="D12" s="3">
        <v>44</v>
      </c>
      <c r="E12" s="3" t="s">
        <v>148</v>
      </c>
      <c r="F12" s="3">
        <v>26</v>
      </c>
      <c r="G12" s="3" t="s">
        <v>15</v>
      </c>
      <c r="H12" s="5">
        <f>(D12/52)*3</f>
        <v>2.5384615384615383</v>
      </c>
      <c r="K12" s="2">
        <f t="shared" si="1"/>
        <v>10</v>
      </c>
      <c r="L12" s="3" t="s">
        <v>132</v>
      </c>
      <c r="M12" s="3" t="s">
        <v>174</v>
      </c>
      <c r="N12" s="3">
        <v>67</v>
      </c>
      <c r="O12" s="3">
        <v>14</v>
      </c>
      <c r="P12" s="3" t="s">
        <v>44</v>
      </c>
      <c r="Q12" s="5">
        <f t="shared" si="0"/>
        <v>4.7857142857142856</v>
      </c>
    </row>
    <row r="13" spans="1:17" ht="18.75" customHeight="1" x14ac:dyDescent="0.3">
      <c r="A13" s="2">
        <f>A14</f>
        <v>11</v>
      </c>
      <c r="B13" s="3" t="s">
        <v>128</v>
      </c>
      <c r="C13" s="3" t="s">
        <v>30</v>
      </c>
      <c r="D13" s="3">
        <v>86</v>
      </c>
      <c r="E13" s="3">
        <v>102</v>
      </c>
      <c r="F13" s="3">
        <v>34</v>
      </c>
      <c r="G13" s="3" t="s">
        <v>15</v>
      </c>
      <c r="H13" s="5">
        <f>D13/F13</f>
        <v>2.5294117647058822</v>
      </c>
      <c r="K13" s="2">
        <f>K11+1</f>
        <v>10</v>
      </c>
      <c r="L13" s="3" t="s">
        <v>163</v>
      </c>
      <c r="M13" s="3" t="s">
        <v>169</v>
      </c>
      <c r="N13" s="3">
        <v>67</v>
      </c>
      <c r="O13" s="3">
        <v>14</v>
      </c>
      <c r="P13" s="3" t="s">
        <v>44</v>
      </c>
      <c r="Q13" s="5">
        <f t="shared" si="0"/>
        <v>4.7857142857142856</v>
      </c>
    </row>
    <row r="14" spans="1:17" ht="18.75" customHeight="1" x14ac:dyDescent="0.3">
      <c r="A14" s="2">
        <f>A12+1</f>
        <v>11</v>
      </c>
      <c r="B14" s="3" t="s">
        <v>19</v>
      </c>
      <c r="C14" s="3" t="s">
        <v>20</v>
      </c>
      <c r="D14" s="3">
        <v>96</v>
      </c>
      <c r="E14" s="3">
        <v>114</v>
      </c>
      <c r="F14" s="3">
        <v>38</v>
      </c>
      <c r="G14" s="3" t="s">
        <v>15</v>
      </c>
      <c r="H14" s="5">
        <f>D14/F14</f>
        <v>2.5263157894736841</v>
      </c>
      <c r="K14" s="2">
        <f>K13+2</f>
        <v>12</v>
      </c>
      <c r="L14" s="3" t="s">
        <v>166</v>
      </c>
      <c r="M14" s="3" t="s">
        <v>175</v>
      </c>
      <c r="N14" s="3">
        <v>105</v>
      </c>
      <c r="O14" s="3">
        <v>22</v>
      </c>
      <c r="P14" s="3" t="s">
        <v>15</v>
      </c>
      <c r="Q14" s="5">
        <f t="shared" si="0"/>
        <v>4.7727272727272725</v>
      </c>
    </row>
    <row r="15" spans="1:17" ht="18.75" customHeight="1" x14ac:dyDescent="0.3">
      <c r="A15" s="2">
        <f>A13+2</f>
        <v>13</v>
      </c>
      <c r="B15" s="3" t="s">
        <v>127</v>
      </c>
      <c r="C15" s="3" t="s">
        <v>165</v>
      </c>
      <c r="D15" s="3">
        <v>37</v>
      </c>
      <c r="E15" s="3" t="s">
        <v>120</v>
      </c>
      <c r="F15" s="3">
        <v>22</v>
      </c>
      <c r="G15" s="3" t="s">
        <v>15</v>
      </c>
      <c r="H15" s="5">
        <f>(D15/44)*3</f>
        <v>2.5227272727272729</v>
      </c>
      <c r="K15" s="2">
        <f t="shared" ref="K15:K22" si="2">K14+1</f>
        <v>13</v>
      </c>
      <c r="L15" s="3" t="s">
        <v>132</v>
      </c>
      <c r="M15" s="3" t="s">
        <v>176</v>
      </c>
      <c r="N15" s="3">
        <v>123</v>
      </c>
      <c r="O15" s="3">
        <v>26</v>
      </c>
      <c r="P15" s="3" t="s">
        <v>18</v>
      </c>
      <c r="Q15" s="5">
        <f t="shared" si="0"/>
        <v>4.7307692307692308</v>
      </c>
    </row>
    <row r="16" spans="1:17" ht="18.75" customHeight="1" x14ac:dyDescent="0.3">
      <c r="A16" s="2">
        <f>A15+1</f>
        <v>14</v>
      </c>
      <c r="B16" s="7" t="s">
        <v>64</v>
      </c>
      <c r="C16" s="7" t="s">
        <v>65</v>
      </c>
      <c r="D16" s="7">
        <v>50</v>
      </c>
      <c r="E16" s="7" t="s">
        <v>66</v>
      </c>
      <c r="F16" s="7">
        <v>30</v>
      </c>
      <c r="G16" s="7" t="s">
        <v>15</v>
      </c>
      <c r="H16" s="8">
        <f>(D16/60)*3</f>
        <v>2.5</v>
      </c>
      <c r="K16" s="2">
        <f t="shared" si="2"/>
        <v>14</v>
      </c>
      <c r="L16" s="3" t="s">
        <v>166</v>
      </c>
      <c r="M16" s="3" t="s">
        <v>177</v>
      </c>
      <c r="N16" s="3">
        <v>140</v>
      </c>
      <c r="O16" s="3">
        <v>30</v>
      </c>
      <c r="P16" s="3" t="s">
        <v>18</v>
      </c>
      <c r="Q16" s="5">
        <f t="shared" si="0"/>
        <v>4.666666666666667</v>
      </c>
    </row>
    <row r="17" spans="1:17" ht="18.75" customHeight="1" x14ac:dyDescent="0.3">
      <c r="A17" s="2">
        <f t="shared" ref="A17:A22" si="3">A16</f>
        <v>14</v>
      </c>
      <c r="B17" s="3" t="s">
        <v>372</v>
      </c>
      <c r="C17" s="3" t="s">
        <v>20</v>
      </c>
      <c r="D17" s="3">
        <v>85</v>
      </c>
      <c r="E17" s="3">
        <v>102</v>
      </c>
      <c r="F17" s="3">
        <v>34</v>
      </c>
      <c r="G17" s="3" t="s">
        <v>15</v>
      </c>
      <c r="H17" s="5">
        <f>D17/F17</f>
        <v>2.5</v>
      </c>
      <c r="K17" s="2">
        <f t="shared" si="2"/>
        <v>15</v>
      </c>
      <c r="L17" s="3" t="s">
        <v>166</v>
      </c>
      <c r="M17" s="3" t="s">
        <v>178</v>
      </c>
      <c r="N17" s="3">
        <v>121</v>
      </c>
      <c r="O17" s="3">
        <v>26</v>
      </c>
      <c r="P17" s="3" t="s">
        <v>15</v>
      </c>
      <c r="Q17" s="5">
        <f t="shared" si="0"/>
        <v>4.6538461538461542</v>
      </c>
    </row>
    <row r="18" spans="1:17" ht="18.75" customHeight="1" x14ac:dyDescent="0.3">
      <c r="A18" s="2">
        <f t="shared" si="3"/>
        <v>14</v>
      </c>
      <c r="B18" s="3" t="s">
        <v>131</v>
      </c>
      <c r="C18" s="3" t="s">
        <v>54</v>
      </c>
      <c r="D18" s="3">
        <v>85</v>
      </c>
      <c r="E18" s="3">
        <v>102</v>
      </c>
      <c r="F18" s="3">
        <v>34</v>
      </c>
      <c r="G18" s="3" t="s">
        <v>15</v>
      </c>
      <c r="H18" s="5">
        <f>D18/F18</f>
        <v>2.5</v>
      </c>
      <c r="K18" s="2">
        <f t="shared" si="2"/>
        <v>16</v>
      </c>
      <c r="L18" s="3" t="s">
        <v>179</v>
      </c>
      <c r="M18" s="3">
        <v>1901</v>
      </c>
      <c r="N18" s="3">
        <v>37</v>
      </c>
      <c r="O18" s="3">
        <v>8</v>
      </c>
      <c r="P18" s="3" t="s">
        <v>18</v>
      </c>
      <c r="Q18" s="5">
        <f t="shared" si="0"/>
        <v>4.625</v>
      </c>
    </row>
    <row r="19" spans="1:17" ht="18.75" customHeight="1" x14ac:dyDescent="0.3">
      <c r="A19" s="2">
        <f t="shared" si="3"/>
        <v>14</v>
      </c>
      <c r="B19" s="3" t="s">
        <v>132</v>
      </c>
      <c r="C19" s="3" t="s">
        <v>26</v>
      </c>
      <c r="D19" s="3">
        <v>85</v>
      </c>
      <c r="E19" s="3">
        <v>102</v>
      </c>
      <c r="F19" s="3">
        <v>34</v>
      </c>
      <c r="G19" s="3" t="s">
        <v>15</v>
      </c>
      <c r="H19" s="5">
        <f>D19/F19</f>
        <v>2.5</v>
      </c>
      <c r="K19" s="2">
        <f t="shared" si="2"/>
        <v>17</v>
      </c>
      <c r="L19" s="3" t="s">
        <v>140</v>
      </c>
      <c r="M19" s="3">
        <v>1950</v>
      </c>
      <c r="N19" s="3">
        <v>67</v>
      </c>
      <c r="O19" s="3">
        <v>15</v>
      </c>
      <c r="P19" s="3" t="s">
        <v>18</v>
      </c>
      <c r="Q19" s="5">
        <f t="shared" si="0"/>
        <v>4.4666666666666668</v>
      </c>
    </row>
    <row r="20" spans="1:17" ht="18.75" customHeight="1" x14ac:dyDescent="0.3">
      <c r="A20" s="2">
        <f t="shared" si="3"/>
        <v>14</v>
      </c>
      <c r="B20" s="3" t="s">
        <v>131</v>
      </c>
      <c r="C20" s="3" t="s">
        <v>14</v>
      </c>
      <c r="D20" s="3">
        <v>85</v>
      </c>
      <c r="E20" s="3">
        <v>102</v>
      </c>
      <c r="F20" s="3">
        <v>34</v>
      </c>
      <c r="G20" s="3" t="s">
        <v>15</v>
      </c>
      <c r="H20" s="5">
        <f>D20/F20</f>
        <v>2.5</v>
      </c>
      <c r="K20" s="2">
        <f t="shared" si="2"/>
        <v>18</v>
      </c>
      <c r="L20" s="3" t="s">
        <v>127</v>
      </c>
      <c r="M20" s="3" t="s">
        <v>180</v>
      </c>
      <c r="N20" s="3">
        <v>79</v>
      </c>
      <c r="O20" s="3">
        <v>18</v>
      </c>
      <c r="P20" s="3" t="s">
        <v>18</v>
      </c>
      <c r="Q20" s="5">
        <f t="shared" si="0"/>
        <v>4.3888888888888893</v>
      </c>
    </row>
    <row r="21" spans="1:17" ht="18.75" customHeight="1" x14ac:dyDescent="0.3">
      <c r="A21" s="2">
        <f t="shared" si="3"/>
        <v>14</v>
      </c>
      <c r="B21" s="3" t="s">
        <v>131</v>
      </c>
      <c r="C21" s="3" t="s">
        <v>121</v>
      </c>
      <c r="D21" s="3">
        <v>50</v>
      </c>
      <c r="E21" s="3" t="s">
        <v>66</v>
      </c>
      <c r="F21" s="3">
        <v>30</v>
      </c>
      <c r="G21" s="3" t="s">
        <v>15</v>
      </c>
      <c r="H21" s="5">
        <f>(D21/60)*3</f>
        <v>2.5</v>
      </c>
      <c r="K21" s="2">
        <f t="shared" si="2"/>
        <v>19</v>
      </c>
      <c r="L21" s="3" t="s">
        <v>166</v>
      </c>
      <c r="M21" s="3" t="s">
        <v>107</v>
      </c>
      <c r="N21" s="3">
        <v>113</v>
      </c>
      <c r="O21" s="3">
        <v>26</v>
      </c>
      <c r="P21" s="3" t="s">
        <v>18</v>
      </c>
      <c r="Q21" s="5">
        <f t="shared" si="0"/>
        <v>4.3461538461538458</v>
      </c>
    </row>
    <row r="22" spans="1:17" ht="18.75" customHeight="1" x14ac:dyDescent="0.3">
      <c r="A22" s="2">
        <f t="shared" si="3"/>
        <v>14</v>
      </c>
      <c r="B22" s="3" t="s">
        <v>166</v>
      </c>
      <c r="C22" s="3" t="s">
        <v>171</v>
      </c>
      <c r="D22" s="3">
        <v>35</v>
      </c>
      <c r="E22" s="3" t="s">
        <v>181</v>
      </c>
      <c r="F22" s="3">
        <v>21</v>
      </c>
      <c r="G22" s="3" t="s">
        <v>15</v>
      </c>
      <c r="H22" s="5">
        <f>(D22/42)*3</f>
        <v>2.5</v>
      </c>
      <c r="K22" s="2">
        <f t="shared" si="2"/>
        <v>20</v>
      </c>
      <c r="L22" s="3" t="s">
        <v>182</v>
      </c>
      <c r="M22" s="3" t="s">
        <v>183</v>
      </c>
      <c r="N22" s="3">
        <v>78</v>
      </c>
      <c r="O22" s="3">
        <v>18</v>
      </c>
      <c r="P22" s="3" t="s">
        <v>44</v>
      </c>
      <c r="Q22" s="5">
        <f t="shared" si="0"/>
        <v>4.333333333333333</v>
      </c>
    </row>
    <row r="26" spans="1:17" ht="18.75" customHeight="1" x14ac:dyDescent="0.3">
      <c r="A26" s="22" t="s">
        <v>184</v>
      </c>
      <c r="B26" s="15"/>
      <c r="C26" s="15"/>
      <c r="D26" s="15"/>
      <c r="E26" s="15"/>
      <c r="F26" s="15"/>
      <c r="G26" s="15"/>
      <c r="H26" s="15"/>
      <c r="K26" s="21" t="s">
        <v>185</v>
      </c>
      <c r="L26" s="20"/>
      <c r="M26" s="20"/>
      <c r="N26" s="20"/>
      <c r="O26" s="20"/>
      <c r="P26" s="20"/>
      <c r="Q26" s="20"/>
    </row>
    <row r="27" spans="1:17" ht="18.75" customHeight="1" x14ac:dyDescent="0.3">
      <c r="A27" s="2" t="s">
        <v>4</v>
      </c>
      <c r="B27" s="2" t="s">
        <v>5</v>
      </c>
      <c r="C27" s="2" t="s">
        <v>6</v>
      </c>
      <c r="D27" s="2" t="s">
        <v>7</v>
      </c>
      <c r="E27" s="2" t="s">
        <v>62</v>
      </c>
      <c r="F27" s="2" t="s">
        <v>8</v>
      </c>
      <c r="G27" s="2" t="s">
        <v>9</v>
      </c>
      <c r="H27" s="2" t="s">
        <v>366</v>
      </c>
      <c r="K27" s="2" t="s">
        <v>4</v>
      </c>
      <c r="L27" s="2" t="s">
        <v>5</v>
      </c>
      <c r="M27" s="2" t="s">
        <v>6</v>
      </c>
      <c r="N27" s="2" t="s">
        <v>201</v>
      </c>
      <c r="O27" s="2" t="s">
        <v>8</v>
      </c>
      <c r="P27" s="2" t="s">
        <v>9</v>
      </c>
      <c r="Q27" s="2" t="s">
        <v>202</v>
      </c>
    </row>
    <row r="28" spans="1:17" ht="18.75" customHeight="1" x14ac:dyDescent="0.3">
      <c r="A28" s="2">
        <f>1</f>
        <v>1</v>
      </c>
      <c r="B28" s="3" t="s">
        <v>166</v>
      </c>
      <c r="C28" s="3" t="s">
        <v>175</v>
      </c>
      <c r="D28" s="3">
        <v>44</v>
      </c>
      <c r="E28" s="3" t="s">
        <v>120</v>
      </c>
      <c r="F28" s="3">
        <v>22</v>
      </c>
      <c r="G28" s="3" t="s">
        <v>18</v>
      </c>
      <c r="H28" s="5">
        <f>(D28/44)*3</f>
        <v>3</v>
      </c>
      <c r="K28" s="2">
        <v>1</v>
      </c>
      <c r="L28" s="3" t="s">
        <v>131</v>
      </c>
      <c r="M28" s="3" t="s">
        <v>153</v>
      </c>
      <c r="N28" s="3">
        <v>9</v>
      </c>
      <c r="O28" s="3">
        <v>30</v>
      </c>
      <c r="P28" s="3" t="s">
        <v>15</v>
      </c>
      <c r="Q28" s="5">
        <f t="shared" ref="Q28:Q33" si="4">N28/O28</f>
        <v>0.3</v>
      </c>
    </row>
    <row r="29" spans="1:17" ht="18.75" customHeight="1" x14ac:dyDescent="0.3">
      <c r="A29" s="2">
        <f>1</f>
        <v>1</v>
      </c>
      <c r="B29" s="3" t="s">
        <v>179</v>
      </c>
      <c r="C29" s="3">
        <v>1901</v>
      </c>
      <c r="D29" s="3">
        <v>16</v>
      </c>
      <c r="E29" s="3" t="s">
        <v>186</v>
      </c>
      <c r="F29" s="3">
        <v>8</v>
      </c>
      <c r="G29" s="3" t="s">
        <v>18</v>
      </c>
      <c r="H29" s="5">
        <f>(D29/16)*3</f>
        <v>3</v>
      </c>
      <c r="K29" s="2">
        <f>K28</f>
        <v>1</v>
      </c>
      <c r="L29" s="3" t="s">
        <v>131</v>
      </c>
      <c r="M29" s="3" t="s">
        <v>121</v>
      </c>
      <c r="N29" s="3">
        <v>9</v>
      </c>
      <c r="O29" s="3">
        <v>30</v>
      </c>
      <c r="P29" s="3" t="s">
        <v>15</v>
      </c>
      <c r="Q29" s="5">
        <f t="shared" si="4"/>
        <v>0.3</v>
      </c>
    </row>
    <row r="30" spans="1:17" ht="18.75" customHeight="1" x14ac:dyDescent="0.3">
      <c r="A30" s="2">
        <f>A28+2</f>
        <v>3</v>
      </c>
      <c r="B30" s="3" t="s">
        <v>163</v>
      </c>
      <c r="C30" s="3" t="s">
        <v>164</v>
      </c>
      <c r="D30" s="3">
        <v>43</v>
      </c>
      <c r="E30" s="3" t="s">
        <v>120</v>
      </c>
      <c r="F30" s="3">
        <v>22</v>
      </c>
      <c r="G30" s="3" t="s">
        <v>18</v>
      </c>
      <c r="H30" s="5">
        <f>(D30/44)*3</f>
        <v>2.9318181818181817</v>
      </c>
      <c r="K30" s="2">
        <f>K29+2</f>
        <v>3</v>
      </c>
      <c r="L30" s="3" t="s">
        <v>131</v>
      </c>
      <c r="M30" s="3" t="s">
        <v>154</v>
      </c>
      <c r="N30" s="3">
        <v>11</v>
      </c>
      <c r="O30" s="3">
        <v>34</v>
      </c>
      <c r="P30" s="3" t="s">
        <v>18</v>
      </c>
      <c r="Q30" s="5">
        <f t="shared" si="4"/>
        <v>0.3235294117647059</v>
      </c>
    </row>
    <row r="31" spans="1:17" ht="18.75" customHeight="1" x14ac:dyDescent="0.3">
      <c r="A31" s="2">
        <f t="shared" ref="A31:A38" si="5">A30+1</f>
        <v>4</v>
      </c>
      <c r="B31" s="3" t="s">
        <v>127</v>
      </c>
      <c r="C31" s="3" t="s">
        <v>142</v>
      </c>
      <c r="D31" s="3">
        <v>58</v>
      </c>
      <c r="E31" s="3" t="s">
        <v>66</v>
      </c>
      <c r="F31" s="3">
        <v>30</v>
      </c>
      <c r="G31" s="3" t="s">
        <v>18</v>
      </c>
      <c r="H31" s="5">
        <f>(D31/60)*3</f>
        <v>2.9</v>
      </c>
      <c r="K31" s="2">
        <f>K30+1</f>
        <v>4</v>
      </c>
      <c r="L31" s="3" t="s">
        <v>76</v>
      </c>
      <c r="M31" s="3" t="s">
        <v>77</v>
      </c>
      <c r="N31" s="3">
        <v>11</v>
      </c>
      <c r="O31" s="3">
        <v>30</v>
      </c>
      <c r="P31" s="3" t="s">
        <v>18</v>
      </c>
      <c r="Q31" s="8">
        <f t="shared" si="4"/>
        <v>0.36666666666666664</v>
      </c>
    </row>
    <row r="32" spans="1:17" ht="18.75" customHeight="1" x14ac:dyDescent="0.3">
      <c r="A32" s="2">
        <f t="shared" si="5"/>
        <v>5</v>
      </c>
      <c r="B32" s="3" t="s">
        <v>163</v>
      </c>
      <c r="C32" s="3" t="s">
        <v>173</v>
      </c>
      <c r="D32" s="3">
        <v>42</v>
      </c>
      <c r="E32" s="3" t="s">
        <v>120</v>
      </c>
      <c r="F32" s="3">
        <v>22</v>
      </c>
      <c r="G32" s="3" t="s">
        <v>18</v>
      </c>
      <c r="H32" s="5">
        <f>(D32/44)*3</f>
        <v>2.8636363636363638</v>
      </c>
      <c r="K32" s="2">
        <f>K31</f>
        <v>4</v>
      </c>
      <c r="L32" s="3" t="s">
        <v>127</v>
      </c>
      <c r="M32" s="3" t="s">
        <v>143</v>
      </c>
      <c r="N32" s="3">
        <v>11</v>
      </c>
      <c r="O32" s="3">
        <v>30</v>
      </c>
      <c r="P32" s="3" t="s">
        <v>15</v>
      </c>
      <c r="Q32" s="5">
        <f t="shared" si="4"/>
        <v>0.36666666666666664</v>
      </c>
    </row>
    <row r="33" spans="1:17" ht="18.75" customHeight="1" x14ac:dyDescent="0.3">
      <c r="A33" s="2">
        <f t="shared" si="5"/>
        <v>6</v>
      </c>
      <c r="B33" s="3" t="s">
        <v>163</v>
      </c>
      <c r="C33" s="3" t="s">
        <v>187</v>
      </c>
      <c r="D33" s="3">
        <v>53</v>
      </c>
      <c r="E33" s="3" t="s">
        <v>188</v>
      </c>
      <c r="F33" s="3">
        <v>28</v>
      </c>
      <c r="G33" s="3" t="s">
        <v>18</v>
      </c>
      <c r="H33" s="5">
        <f>(D33/56)*3</f>
        <v>2.8392857142857144</v>
      </c>
      <c r="K33" s="2">
        <f>K31+2</f>
        <v>6</v>
      </c>
      <c r="L33" s="3" t="s">
        <v>13</v>
      </c>
      <c r="M33" s="3" t="s">
        <v>78</v>
      </c>
      <c r="N33" s="3">
        <v>16</v>
      </c>
      <c r="O33" s="3">
        <v>42</v>
      </c>
      <c r="P33" s="3" t="s">
        <v>18</v>
      </c>
      <c r="Q33" s="5">
        <f t="shared" si="4"/>
        <v>0.38095238095238093</v>
      </c>
    </row>
    <row r="34" spans="1:17" ht="18.75" customHeight="1" x14ac:dyDescent="0.3">
      <c r="A34" s="2">
        <f t="shared" si="5"/>
        <v>7</v>
      </c>
      <c r="B34" s="3" t="s">
        <v>131</v>
      </c>
      <c r="C34" s="3" t="s">
        <v>161</v>
      </c>
      <c r="D34" s="3">
        <v>34</v>
      </c>
      <c r="E34" s="3" t="s">
        <v>162</v>
      </c>
      <c r="F34" s="3">
        <v>18</v>
      </c>
      <c r="G34" s="3" t="s">
        <v>18</v>
      </c>
      <c r="H34" s="5">
        <f>(D34/36)*3</f>
        <v>2.833333333333333</v>
      </c>
      <c r="K34" s="2">
        <f>K33</f>
        <v>6</v>
      </c>
      <c r="L34" s="3" t="s">
        <v>163</v>
      </c>
      <c r="M34" s="3" t="s">
        <v>189</v>
      </c>
      <c r="N34" s="3">
        <v>9</v>
      </c>
      <c r="O34" s="3">
        <v>24</v>
      </c>
      <c r="P34" s="3" t="s">
        <v>18</v>
      </c>
      <c r="Q34" s="3">
        <v>0.38</v>
      </c>
    </row>
    <row r="35" spans="1:17" ht="18.75" customHeight="1" x14ac:dyDescent="0.3">
      <c r="A35" s="2">
        <f t="shared" si="5"/>
        <v>8</v>
      </c>
      <c r="B35" s="3" t="s">
        <v>179</v>
      </c>
      <c r="C35" s="3">
        <v>1902</v>
      </c>
      <c r="D35" s="3">
        <v>15</v>
      </c>
      <c r="E35" s="3" t="s">
        <v>186</v>
      </c>
      <c r="F35" s="3">
        <v>8</v>
      </c>
      <c r="G35" s="3" t="s">
        <v>18</v>
      </c>
      <c r="H35" s="5">
        <f>(D35/16)*3</f>
        <v>2.8125</v>
      </c>
      <c r="K35" s="2">
        <f>K34</f>
        <v>6</v>
      </c>
      <c r="L35" s="3" t="s">
        <v>166</v>
      </c>
      <c r="M35" s="3" t="s">
        <v>171</v>
      </c>
      <c r="N35" s="3">
        <v>8</v>
      </c>
      <c r="O35" s="3">
        <v>21</v>
      </c>
      <c r="P35" s="3" t="s">
        <v>15</v>
      </c>
      <c r="Q35" s="3">
        <v>0.38</v>
      </c>
    </row>
    <row r="36" spans="1:17" ht="18.75" customHeight="1" x14ac:dyDescent="0.3">
      <c r="A36" s="2">
        <f t="shared" si="5"/>
        <v>9</v>
      </c>
      <c r="B36" s="3" t="s">
        <v>131</v>
      </c>
      <c r="C36" s="3" t="s">
        <v>22</v>
      </c>
      <c r="D36" s="3">
        <v>84</v>
      </c>
      <c r="E36" s="3">
        <v>90</v>
      </c>
      <c r="F36" s="3">
        <v>30</v>
      </c>
      <c r="G36" s="3" t="s">
        <v>18</v>
      </c>
      <c r="H36" s="5">
        <f>D36/F36</f>
        <v>2.8</v>
      </c>
      <c r="K36" s="2">
        <f>K33</f>
        <v>6</v>
      </c>
      <c r="L36" s="3" t="s">
        <v>158</v>
      </c>
      <c r="M36" s="3" t="s">
        <v>71</v>
      </c>
      <c r="N36" s="3">
        <v>13</v>
      </c>
      <c r="O36" s="3">
        <v>34</v>
      </c>
      <c r="P36" s="3" t="s">
        <v>44</v>
      </c>
      <c r="Q36" s="5">
        <f t="shared" ref="Q36:Q47" si="6">N36/O36</f>
        <v>0.38235294117647056</v>
      </c>
    </row>
    <row r="37" spans="1:17" ht="18.75" customHeight="1" x14ac:dyDescent="0.3">
      <c r="A37" s="2">
        <f t="shared" si="5"/>
        <v>10</v>
      </c>
      <c r="B37" s="3" t="s">
        <v>372</v>
      </c>
      <c r="C37" s="3" t="s">
        <v>71</v>
      </c>
      <c r="D37" s="3">
        <v>63</v>
      </c>
      <c r="E37" s="3" t="s">
        <v>70</v>
      </c>
      <c r="F37" s="3">
        <v>34</v>
      </c>
      <c r="G37" s="3" t="s">
        <v>18</v>
      </c>
      <c r="H37" s="5">
        <f>(D37/68)*3</f>
        <v>2.7794117647058822</v>
      </c>
      <c r="K37" s="2">
        <f>K36</f>
        <v>6</v>
      </c>
      <c r="L37" s="3" t="s">
        <v>131</v>
      </c>
      <c r="M37" s="3" t="s">
        <v>23</v>
      </c>
      <c r="N37" s="3">
        <v>13</v>
      </c>
      <c r="O37" s="3">
        <v>34</v>
      </c>
      <c r="P37" s="3" t="s">
        <v>15</v>
      </c>
      <c r="Q37" s="5">
        <f t="shared" si="6"/>
        <v>0.38235294117647056</v>
      </c>
    </row>
    <row r="38" spans="1:17" ht="18.75" customHeight="1" x14ac:dyDescent="0.3">
      <c r="A38" s="2">
        <f t="shared" si="5"/>
        <v>11</v>
      </c>
      <c r="B38" s="3" t="s">
        <v>127</v>
      </c>
      <c r="C38" s="3" t="s">
        <v>155</v>
      </c>
      <c r="D38" s="3">
        <v>48</v>
      </c>
      <c r="E38" s="3" t="s">
        <v>148</v>
      </c>
      <c r="F38" s="3">
        <v>26</v>
      </c>
      <c r="G38" s="3" t="s">
        <v>18</v>
      </c>
      <c r="H38" s="5">
        <f>(D38/52)*3</f>
        <v>2.7692307692307692</v>
      </c>
      <c r="K38" s="2">
        <f>K37+5</f>
        <v>11</v>
      </c>
      <c r="L38" s="3" t="s">
        <v>48</v>
      </c>
      <c r="M38" s="3" t="s">
        <v>49</v>
      </c>
      <c r="N38" s="3">
        <v>15</v>
      </c>
      <c r="O38" s="3">
        <v>38</v>
      </c>
      <c r="P38" s="3" t="s">
        <v>18</v>
      </c>
      <c r="Q38" s="5">
        <f t="shared" si="6"/>
        <v>0.39473684210526316</v>
      </c>
    </row>
    <row r="39" spans="1:17" ht="18.75" customHeight="1" x14ac:dyDescent="0.3">
      <c r="A39" s="2">
        <f>A38</f>
        <v>11</v>
      </c>
      <c r="B39" s="3" t="s">
        <v>163</v>
      </c>
      <c r="C39" s="3" t="s">
        <v>190</v>
      </c>
      <c r="D39" s="3">
        <v>48</v>
      </c>
      <c r="E39" s="3" t="s">
        <v>148</v>
      </c>
      <c r="F39" s="3">
        <v>26</v>
      </c>
      <c r="G39" s="3" t="s">
        <v>18</v>
      </c>
      <c r="H39" s="5">
        <f>(D39/52)*3</f>
        <v>2.7692307692307692</v>
      </c>
      <c r="K39" s="2">
        <f>K38</f>
        <v>11</v>
      </c>
      <c r="L39" s="3" t="s">
        <v>127</v>
      </c>
      <c r="M39" s="3" t="s">
        <v>85</v>
      </c>
      <c r="N39" s="3">
        <v>15</v>
      </c>
      <c r="O39" s="3">
        <v>38</v>
      </c>
      <c r="P39" s="3" t="s">
        <v>18</v>
      </c>
      <c r="Q39" s="5">
        <f t="shared" si="6"/>
        <v>0.39473684210526316</v>
      </c>
    </row>
    <row r="40" spans="1:17" ht="18.75" customHeight="1" x14ac:dyDescent="0.3">
      <c r="A40" s="2">
        <f>A39+2</f>
        <v>13</v>
      </c>
      <c r="B40" s="3" t="s">
        <v>131</v>
      </c>
      <c r="C40" s="3" t="s">
        <v>156</v>
      </c>
      <c r="D40" s="3">
        <v>55</v>
      </c>
      <c r="E40" s="3" t="s">
        <v>66</v>
      </c>
      <c r="F40" s="3">
        <v>30</v>
      </c>
      <c r="G40" s="3" t="s">
        <v>18</v>
      </c>
      <c r="H40" s="5">
        <f>(D40/60)*3</f>
        <v>2.75</v>
      </c>
      <c r="K40" s="2">
        <f>K39</f>
        <v>11</v>
      </c>
      <c r="L40" s="3" t="s">
        <v>131</v>
      </c>
      <c r="M40" s="3" t="s">
        <v>82</v>
      </c>
      <c r="N40" s="3">
        <v>15</v>
      </c>
      <c r="O40" s="3">
        <v>38</v>
      </c>
      <c r="P40" s="3" t="s">
        <v>18</v>
      </c>
      <c r="Q40" s="5">
        <f t="shared" si="6"/>
        <v>0.39473684210526316</v>
      </c>
    </row>
    <row r="41" spans="1:17" ht="18.75" customHeight="1" x14ac:dyDescent="0.3">
      <c r="A41" s="2">
        <f>A40</f>
        <v>13</v>
      </c>
      <c r="B41" s="3" t="s">
        <v>127</v>
      </c>
      <c r="C41" s="3" t="s">
        <v>71</v>
      </c>
      <c r="D41" s="3">
        <v>55</v>
      </c>
      <c r="E41" s="3" t="s">
        <v>66</v>
      </c>
      <c r="F41" s="3">
        <v>30</v>
      </c>
      <c r="G41" s="3" t="s">
        <v>18</v>
      </c>
      <c r="H41" s="5">
        <f>(D41/60)*3</f>
        <v>2.75</v>
      </c>
      <c r="K41" s="2">
        <f>K40+3</f>
        <v>14</v>
      </c>
      <c r="L41" s="3" t="s">
        <v>79</v>
      </c>
      <c r="M41" s="3" t="s">
        <v>80</v>
      </c>
      <c r="N41" s="3">
        <v>12</v>
      </c>
      <c r="O41" s="3">
        <v>30</v>
      </c>
      <c r="P41" s="3" t="s">
        <v>44</v>
      </c>
      <c r="Q41" s="8">
        <f t="shared" si="6"/>
        <v>0.4</v>
      </c>
    </row>
    <row r="42" spans="1:17" ht="18.75" customHeight="1" x14ac:dyDescent="0.3">
      <c r="A42" s="2">
        <f>A41</f>
        <v>13</v>
      </c>
      <c r="B42" s="3" t="s">
        <v>163</v>
      </c>
      <c r="C42" s="3" t="s">
        <v>191</v>
      </c>
      <c r="D42" s="3">
        <v>33</v>
      </c>
      <c r="E42" s="3" t="s">
        <v>162</v>
      </c>
      <c r="F42" s="3">
        <v>18</v>
      </c>
      <c r="G42" s="3" t="s">
        <v>18</v>
      </c>
      <c r="H42" s="5">
        <f>(D42/36)*3</f>
        <v>2.75</v>
      </c>
      <c r="K42" s="2">
        <f>K41+1</f>
        <v>15</v>
      </c>
      <c r="L42" s="3" t="s">
        <v>131</v>
      </c>
      <c r="M42" s="3" t="s">
        <v>59</v>
      </c>
      <c r="N42" s="3">
        <v>13</v>
      </c>
      <c r="O42" s="3">
        <v>30</v>
      </c>
      <c r="P42" s="3" t="s">
        <v>18</v>
      </c>
      <c r="Q42" s="5">
        <f t="shared" si="6"/>
        <v>0.43333333333333335</v>
      </c>
    </row>
    <row r="43" spans="1:17" ht="18.75" customHeight="1" x14ac:dyDescent="0.3">
      <c r="A43" s="2">
        <f>A42</f>
        <v>13</v>
      </c>
      <c r="B43" s="3" t="s">
        <v>166</v>
      </c>
      <c r="C43" s="3" t="s">
        <v>192</v>
      </c>
      <c r="D43" s="3">
        <v>33</v>
      </c>
      <c r="E43" s="3" t="s">
        <v>162</v>
      </c>
      <c r="F43" s="3">
        <v>18</v>
      </c>
      <c r="G43" s="3" t="s">
        <v>18</v>
      </c>
      <c r="H43" s="5">
        <f>(D43/36)*3</f>
        <v>2.75</v>
      </c>
      <c r="K43" s="2">
        <f>K42</f>
        <v>15</v>
      </c>
      <c r="L43" s="3" t="s">
        <v>127</v>
      </c>
      <c r="M43" s="3" t="s">
        <v>142</v>
      </c>
      <c r="N43" s="3">
        <v>13</v>
      </c>
      <c r="O43" s="3">
        <v>30</v>
      </c>
      <c r="P43" s="3" t="s">
        <v>18</v>
      </c>
      <c r="Q43" s="5">
        <f t="shared" si="6"/>
        <v>0.43333333333333335</v>
      </c>
    </row>
    <row r="44" spans="1:17" ht="18.75" customHeight="1" x14ac:dyDescent="0.3">
      <c r="A44" s="2">
        <f>A43</f>
        <v>13</v>
      </c>
      <c r="B44" s="3" t="s">
        <v>163</v>
      </c>
      <c r="C44" s="3" t="s">
        <v>189</v>
      </c>
      <c r="D44" s="3">
        <v>44</v>
      </c>
      <c r="E44" s="3" t="s">
        <v>193</v>
      </c>
      <c r="F44" s="3">
        <v>24</v>
      </c>
      <c r="G44" s="3" t="s">
        <v>18</v>
      </c>
      <c r="H44" s="5">
        <f>(D44/48)*3</f>
        <v>2.75</v>
      </c>
      <c r="K44" s="2">
        <f>K42</f>
        <v>15</v>
      </c>
      <c r="L44" s="3" t="s">
        <v>131</v>
      </c>
      <c r="M44" s="3" t="s">
        <v>156</v>
      </c>
      <c r="N44" s="3">
        <v>13</v>
      </c>
      <c r="O44" s="3">
        <v>30</v>
      </c>
      <c r="P44" s="3" t="s">
        <v>18</v>
      </c>
      <c r="Q44" s="5">
        <f t="shared" si="6"/>
        <v>0.43333333333333335</v>
      </c>
    </row>
    <row r="45" spans="1:17" ht="18.75" customHeight="1" x14ac:dyDescent="0.3">
      <c r="A45" s="2">
        <f>A44+5</f>
        <v>18</v>
      </c>
      <c r="B45" s="3" t="s">
        <v>131</v>
      </c>
      <c r="C45" s="3" t="s">
        <v>157</v>
      </c>
      <c r="D45" s="3">
        <v>62</v>
      </c>
      <c r="E45" s="3" t="s">
        <v>70</v>
      </c>
      <c r="F45" s="3">
        <v>34</v>
      </c>
      <c r="G45" s="3" t="s">
        <v>18</v>
      </c>
      <c r="H45" s="5">
        <f>(D45/68)*3</f>
        <v>2.7352941176470589</v>
      </c>
      <c r="K45" s="2">
        <f>K42</f>
        <v>15</v>
      </c>
      <c r="L45" s="3" t="s">
        <v>127</v>
      </c>
      <c r="M45" s="3" t="s">
        <v>144</v>
      </c>
      <c r="N45" s="3">
        <v>13</v>
      </c>
      <c r="O45" s="3">
        <v>30</v>
      </c>
      <c r="P45" s="3" t="s">
        <v>15</v>
      </c>
      <c r="Q45" s="5">
        <f t="shared" si="6"/>
        <v>0.43333333333333335</v>
      </c>
    </row>
    <row r="46" spans="1:17" ht="18.75" customHeight="1" x14ac:dyDescent="0.3">
      <c r="A46" s="2">
        <f>A45+1</f>
        <v>19</v>
      </c>
      <c r="B46" s="3" t="s">
        <v>100</v>
      </c>
      <c r="C46" s="3" t="s">
        <v>101</v>
      </c>
      <c r="D46" s="3">
        <v>40</v>
      </c>
      <c r="E46" s="3" t="s">
        <v>120</v>
      </c>
      <c r="F46" s="3">
        <v>22</v>
      </c>
      <c r="G46" s="3" t="s">
        <v>18</v>
      </c>
      <c r="H46" s="5">
        <f>(D46/44)*3</f>
        <v>2.7272727272727271</v>
      </c>
      <c r="K46" s="2">
        <f>K45+4</f>
        <v>19</v>
      </c>
      <c r="L46" s="3" t="s">
        <v>79</v>
      </c>
      <c r="M46" s="3" t="s">
        <v>81</v>
      </c>
      <c r="N46" s="3">
        <v>15</v>
      </c>
      <c r="O46" s="3">
        <v>34</v>
      </c>
      <c r="P46" s="3" t="s">
        <v>18</v>
      </c>
      <c r="Q46" s="8">
        <f t="shared" si="6"/>
        <v>0.44117647058823528</v>
      </c>
    </row>
    <row r="47" spans="1:17" ht="18.75" customHeight="1" x14ac:dyDescent="0.3">
      <c r="A47" s="2">
        <f>A46</f>
        <v>19</v>
      </c>
      <c r="B47" s="3" t="s">
        <v>163</v>
      </c>
      <c r="C47" s="3" t="s">
        <v>194</v>
      </c>
      <c r="D47" s="3">
        <v>40</v>
      </c>
      <c r="E47" s="3" t="s">
        <v>120</v>
      </c>
      <c r="F47" s="3">
        <v>22</v>
      </c>
      <c r="G47" s="3" t="s">
        <v>18</v>
      </c>
      <c r="H47" s="5">
        <f>(D47/44)*3</f>
        <v>2.7272727272727271</v>
      </c>
      <c r="K47" s="2">
        <f>K46+1</f>
        <v>20</v>
      </c>
      <c r="L47" s="3" t="s">
        <v>34</v>
      </c>
      <c r="M47" s="3" t="s">
        <v>50</v>
      </c>
      <c r="N47" s="3">
        <v>17</v>
      </c>
      <c r="O47" s="3">
        <v>38</v>
      </c>
      <c r="P47" s="3" t="s">
        <v>15</v>
      </c>
      <c r="Q47" s="5">
        <f t="shared" si="6"/>
        <v>0.44736842105263158</v>
      </c>
    </row>
  </sheetData>
  <mergeCells count="4">
    <mergeCell ref="A26:H26"/>
    <mergeCell ref="K1:Q1"/>
    <mergeCell ref="K26:Q26"/>
    <mergeCell ref="A1:H1"/>
  </mergeCells>
  <conditionalFormatting sqref="H3:H4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2"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5:H7"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"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 H14 H16">
    <cfRule type="colorScale" priority="9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"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 H15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7"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8:H21"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2"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8:H29"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8:H47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0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1"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2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3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4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5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6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7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9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0:H41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2:H44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5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6">
    <cfRule type="colorScale" priority="9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7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0 Q13:Q14 Q16:Q19 Q21">
    <cfRule type="colorScale" priority="9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8:Q30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28:Q33 Q36:Q45">
    <cfRule type="colorScale" priority="9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28:Q4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1 Q33 Q38 Q41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1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2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4:Q35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6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7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9:Q40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42:Q45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46:Q47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48"/>
  <sheetViews>
    <sheetView topLeftCell="C1" workbookViewId="0">
      <selection activeCell="J32" sqref="J32"/>
    </sheetView>
  </sheetViews>
  <sheetFormatPr baseColWidth="10" defaultRowHeight="15" x14ac:dyDescent="0.25"/>
  <cols>
    <col min="2" max="2" width="26.140625" customWidth="1"/>
    <col min="3" max="3" width="17" customWidth="1"/>
    <col min="4" max="4" width="14.5703125" bestFit="1" customWidth="1"/>
    <col min="5" max="5" width="23.42578125" bestFit="1" customWidth="1"/>
    <col min="6" max="6" width="15.28515625" customWidth="1"/>
    <col min="7" max="7" width="30.5703125" customWidth="1"/>
    <col min="11" max="11" width="22.85546875" customWidth="1"/>
    <col min="12" max="12" width="17.28515625" customWidth="1"/>
    <col min="13" max="13" width="19.140625" customWidth="1"/>
    <col min="14" max="14" width="23.42578125" bestFit="1" customWidth="1"/>
    <col min="15" max="15" width="13.85546875" bestFit="1" customWidth="1"/>
    <col min="16" max="16" width="33.5703125" bestFit="1" customWidth="1"/>
  </cols>
  <sheetData>
    <row r="1" spans="1:29" ht="18.75" customHeight="1" x14ac:dyDescent="0.3">
      <c r="A1" s="21" t="s">
        <v>195</v>
      </c>
      <c r="B1" s="20"/>
      <c r="C1" s="20"/>
      <c r="D1" s="20"/>
      <c r="E1" s="20"/>
      <c r="F1" s="20"/>
      <c r="G1" s="20"/>
      <c r="H1" s="1"/>
      <c r="I1" s="1"/>
      <c r="J1" s="21" t="s">
        <v>196</v>
      </c>
      <c r="K1" s="20"/>
      <c r="L1" s="20"/>
      <c r="M1" s="20"/>
      <c r="N1" s="20"/>
      <c r="O1" s="20"/>
      <c r="P1" s="20"/>
      <c r="Q1" s="1"/>
      <c r="R1" s="1"/>
      <c r="S1" s="1"/>
      <c r="T1" s="1"/>
      <c r="U1" s="12"/>
      <c r="V1" s="12"/>
      <c r="W1" s="12"/>
      <c r="X1" s="12"/>
      <c r="Y1" s="12"/>
      <c r="Z1" s="12"/>
      <c r="AA1" s="12"/>
      <c r="AB1" s="12"/>
      <c r="AC1" s="12"/>
    </row>
    <row r="2" spans="1:29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1"/>
      <c r="I2" s="1"/>
      <c r="J2" s="2" t="s">
        <v>4</v>
      </c>
      <c r="K2" s="2" t="s">
        <v>5</v>
      </c>
      <c r="L2" s="2" t="s">
        <v>6</v>
      </c>
      <c r="M2" s="2" t="s">
        <v>11</v>
      </c>
      <c r="N2" s="2" t="s">
        <v>8</v>
      </c>
      <c r="O2" s="2" t="s">
        <v>9</v>
      </c>
      <c r="P2" s="2" t="s">
        <v>12</v>
      </c>
      <c r="Q2" s="1"/>
      <c r="R2" s="1"/>
      <c r="S2" s="1"/>
      <c r="T2" s="1"/>
      <c r="U2" s="12"/>
      <c r="V2" s="12"/>
      <c r="W2" s="12"/>
      <c r="X2" s="12"/>
      <c r="Y2" s="12"/>
      <c r="Z2" s="12"/>
      <c r="AA2" s="12"/>
      <c r="AB2" s="12"/>
      <c r="AC2" s="12"/>
    </row>
    <row r="3" spans="1:29" ht="18.75" customHeight="1" x14ac:dyDescent="0.3">
      <c r="A3" s="2">
        <v>1</v>
      </c>
      <c r="B3" s="3" t="s">
        <v>13</v>
      </c>
      <c r="C3" s="3" t="s">
        <v>14</v>
      </c>
      <c r="D3" s="3">
        <v>97</v>
      </c>
      <c r="E3" s="3">
        <v>38</v>
      </c>
      <c r="F3" s="3" t="s">
        <v>15</v>
      </c>
      <c r="G3" s="4">
        <f t="shared" ref="G3:G12" si="0">D3/E3</f>
        <v>2.5526315789473686</v>
      </c>
      <c r="H3" s="1"/>
      <c r="I3" s="1"/>
      <c r="J3" s="2">
        <v>1</v>
      </c>
      <c r="K3" s="3" t="s">
        <v>53</v>
      </c>
      <c r="L3" s="3" t="s">
        <v>29</v>
      </c>
      <c r="M3" s="3">
        <v>106</v>
      </c>
      <c r="N3" s="3">
        <v>38</v>
      </c>
      <c r="O3" s="3" t="s">
        <v>18</v>
      </c>
      <c r="P3" s="5">
        <f t="shared" ref="P3:P13" si="1">M3/N3</f>
        <v>2.7894736842105261</v>
      </c>
      <c r="Q3" s="1"/>
      <c r="R3" s="1"/>
      <c r="S3" s="1"/>
      <c r="T3" s="1"/>
      <c r="U3" s="12"/>
      <c r="V3" s="12"/>
      <c r="W3" s="12"/>
      <c r="X3" s="12"/>
      <c r="Y3" s="12"/>
      <c r="Z3" s="12"/>
      <c r="AA3" s="12"/>
      <c r="AB3" s="12"/>
      <c r="AC3" s="12"/>
    </row>
    <row r="4" spans="1:29" ht="18.75" customHeight="1" x14ac:dyDescent="0.3">
      <c r="A4" s="2">
        <f>A3+1</f>
        <v>2</v>
      </c>
      <c r="B4" s="3" t="s">
        <v>13</v>
      </c>
      <c r="C4" s="3" t="s">
        <v>26</v>
      </c>
      <c r="D4" s="3">
        <v>92</v>
      </c>
      <c r="E4" s="3">
        <v>38</v>
      </c>
      <c r="F4" s="3" t="s">
        <v>15</v>
      </c>
      <c r="G4" s="4">
        <f t="shared" si="0"/>
        <v>2.4210526315789473</v>
      </c>
      <c r="H4" s="1"/>
      <c r="I4" s="1"/>
      <c r="J4" s="2">
        <f>J3+1</f>
        <v>2</v>
      </c>
      <c r="K4" s="3" t="s">
        <v>48</v>
      </c>
      <c r="L4" s="3" t="s">
        <v>20</v>
      </c>
      <c r="M4" s="3">
        <v>103</v>
      </c>
      <c r="N4" s="3">
        <v>38</v>
      </c>
      <c r="O4" s="3" t="s">
        <v>18</v>
      </c>
      <c r="P4" s="5">
        <f t="shared" si="1"/>
        <v>2.7105263157894739</v>
      </c>
      <c r="Q4" s="1"/>
      <c r="R4" s="1"/>
      <c r="S4" s="1"/>
      <c r="T4" s="1"/>
      <c r="U4" s="12"/>
      <c r="V4" s="12"/>
      <c r="W4" s="12"/>
      <c r="X4" s="12"/>
      <c r="Y4" s="12"/>
      <c r="Z4" s="12"/>
      <c r="AA4" s="12"/>
      <c r="AB4" s="12"/>
      <c r="AC4" s="12"/>
    </row>
    <row r="5" spans="1:29" ht="18.75" customHeight="1" x14ac:dyDescent="0.3">
      <c r="A5" s="2">
        <f>A4+1</f>
        <v>3</v>
      </c>
      <c r="B5" s="3" t="s">
        <v>33</v>
      </c>
      <c r="C5" s="3" t="s">
        <v>21</v>
      </c>
      <c r="D5" s="3">
        <v>89</v>
      </c>
      <c r="E5" s="3">
        <v>38</v>
      </c>
      <c r="F5" s="3" t="s">
        <v>15</v>
      </c>
      <c r="G5" s="4">
        <f t="shared" si="0"/>
        <v>2.3421052631578947</v>
      </c>
      <c r="H5" s="1"/>
      <c r="I5" s="1"/>
      <c r="J5" s="2">
        <f>J4+1</f>
        <v>3</v>
      </c>
      <c r="K5" s="3" t="s">
        <v>53</v>
      </c>
      <c r="L5" s="3" t="s">
        <v>40</v>
      </c>
      <c r="M5" s="3">
        <v>102</v>
      </c>
      <c r="N5" s="3">
        <v>38</v>
      </c>
      <c r="O5" s="3" t="s">
        <v>18</v>
      </c>
      <c r="P5" s="5">
        <f t="shared" si="1"/>
        <v>2.6842105263157894</v>
      </c>
      <c r="Q5" s="1"/>
      <c r="R5" s="1"/>
      <c r="S5" s="1"/>
      <c r="T5" s="1"/>
      <c r="U5" s="12"/>
      <c r="V5" s="12"/>
      <c r="W5" s="12"/>
      <c r="X5" s="12"/>
      <c r="Y5" s="12"/>
      <c r="Z5" s="12"/>
      <c r="AA5" s="12"/>
      <c r="AB5" s="12"/>
      <c r="AC5" s="12"/>
    </row>
    <row r="6" spans="1:29" ht="18.75" customHeight="1" x14ac:dyDescent="0.3">
      <c r="A6" s="2">
        <f>A5</f>
        <v>3</v>
      </c>
      <c r="B6" s="3" t="s">
        <v>34</v>
      </c>
      <c r="C6" s="3" t="s">
        <v>35</v>
      </c>
      <c r="D6" s="3">
        <v>89</v>
      </c>
      <c r="E6" s="3">
        <v>38</v>
      </c>
      <c r="F6" s="3" t="s">
        <v>15</v>
      </c>
      <c r="G6" s="4">
        <f t="shared" si="0"/>
        <v>2.3421052631578947</v>
      </c>
      <c r="H6" s="1"/>
      <c r="I6" s="1"/>
      <c r="J6" s="2">
        <f>J5</f>
        <v>3</v>
      </c>
      <c r="K6" s="3" t="s">
        <v>53</v>
      </c>
      <c r="L6" s="3" t="s">
        <v>31</v>
      </c>
      <c r="M6" s="3">
        <v>102</v>
      </c>
      <c r="N6" s="3">
        <v>38</v>
      </c>
      <c r="O6" s="3" t="s">
        <v>15</v>
      </c>
      <c r="P6" s="5">
        <f t="shared" si="1"/>
        <v>2.6842105263157894</v>
      </c>
      <c r="Q6" s="1"/>
      <c r="R6" s="1"/>
      <c r="S6" s="1"/>
      <c r="T6" s="1"/>
      <c r="U6" s="12"/>
      <c r="V6" s="12"/>
      <c r="W6" s="12"/>
      <c r="X6" s="12"/>
      <c r="Y6" s="12"/>
      <c r="Z6" s="12"/>
      <c r="AA6" s="12"/>
      <c r="AB6" s="12"/>
      <c r="AC6" s="12"/>
    </row>
    <row r="7" spans="1:29" ht="18.75" customHeight="1" x14ac:dyDescent="0.3">
      <c r="A7" s="2">
        <f>A6+2</f>
        <v>5</v>
      </c>
      <c r="B7" s="3" t="s">
        <v>13</v>
      </c>
      <c r="C7" s="3" t="s">
        <v>197</v>
      </c>
      <c r="D7" s="3">
        <v>86</v>
      </c>
      <c r="E7" s="3">
        <v>38</v>
      </c>
      <c r="F7" s="3" t="s">
        <v>15</v>
      </c>
      <c r="G7" s="4">
        <f t="shared" si="0"/>
        <v>2.263157894736842</v>
      </c>
      <c r="H7" s="1"/>
      <c r="I7" s="1"/>
      <c r="J7" s="2">
        <f>J6+2</f>
        <v>5</v>
      </c>
      <c r="K7" s="3" t="s">
        <v>13</v>
      </c>
      <c r="L7" s="3" t="s">
        <v>40</v>
      </c>
      <c r="M7" s="3">
        <v>101</v>
      </c>
      <c r="N7" s="3">
        <v>38</v>
      </c>
      <c r="O7" s="3" t="s">
        <v>15</v>
      </c>
      <c r="P7" s="5">
        <f t="shared" si="1"/>
        <v>2.6578947368421053</v>
      </c>
      <c r="Q7" s="1"/>
      <c r="R7" s="1"/>
      <c r="S7" s="1"/>
      <c r="T7" s="1"/>
      <c r="U7" s="12"/>
      <c r="V7" s="12"/>
      <c r="W7" s="12"/>
      <c r="X7" s="12"/>
      <c r="Y7" s="12"/>
      <c r="Z7" s="12"/>
      <c r="AA7" s="12"/>
      <c r="AB7" s="12"/>
      <c r="AC7" s="12"/>
    </row>
    <row r="8" spans="1:29" ht="18.75" customHeight="1" x14ac:dyDescent="0.3">
      <c r="A8" s="2">
        <f>A7</f>
        <v>5</v>
      </c>
      <c r="B8" s="3" t="s">
        <v>198</v>
      </c>
      <c r="C8" s="3" t="s">
        <v>25</v>
      </c>
      <c r="D8" s="3">
        <v>86</v>
      </c>
      <c r="E8" s="3">
        <v>38</v>
      </c>
      <c r="F8" s="3" t="s">
        <v>15</v>
      </c>
      <c r="G8" s="4">
        <f t="shared" si="0"/>
        <v>2.263157894736842</v>
      </c>
      <c r="H8" s="1"/>
      <c r="I8" s="1"/>
      <c r="J8" s="2">
        <f>J7+1</f>
        <v>6</v>
      </c>
      <c r="K8" s="3" t="s">
        <v>53</v>
      </c>
      <c r="L8" s="3" t="s">
        <v>26</v>
      </c>
      <c r="M8" s="3">
        <v>99</v>
      </c>
      <c r="N8" s="3">
        <v>38</v>
      </c>
      <c r="O8" s="3" t="s">
        <v>18</v>
      </c>
      <c r="P8" s="5">
        <f t="shared" si="1"/>
        <v>2.6052631578947367</v>
      </c>
      <c r="Q8" s="1"/>
      <c r="R8" s="1"/>
      <c r="S8" s="1"/>
      <c r="T8" s="1"/>
      <c r="U8" s="12"/>
      <c r="V8" s="12"/>
      <c r="W8" s="12"/>
      <c r="X8" s="12"/>
      <c r="Y8" s="12"/>
      <c r="Z8" s="12"/>
      <c r="AA8" s="12"/>
      <c r="AB8" s="12"/>
      <c r="AC8" s="12"/>
    </row>
    <row r="9" spans="1:29" ht="18.75" customHeight="1" x14ac:dyDescent="0.3">
      <c r="A9" s="2">
        <f>A8+2</f>
        <v>7</v>
      </c>
      <c r="B9" s="3" t="s">
        <v>33</v>
      </c>
      <c r="C9" s="3" t="s">
        <v>20</v>
      </c>
      <c r="D9" s="3">
        <v>85</v>
      </c>
      <c r="E9" s="3">
        <v>38</v>
      </c>
      <c r="F9" s="3" t="s">
        <v>15</v>
      </c>
      <c r="G9" s="4">
        <f t="shared" si="0"/>
        <v>2.236842105263158</v>
      </c>
      <c r="H9" s="1"/>
      <c r="I9" s="1"/>
      <c r="J9" s="2">
        <f>J8+1</f>
        <v>7</v>
      </c>
      <c r="K9" s="3" t="s">
        <v>33</v>
      </c>
      <c r="L9" s="3" t="s">
        <v>133</v>
      </c>
      <c r="M9" s="3">
        <v>97</v>
      </c>
      <c r="N9" s="3">
        <v>38</v>
      </c>
      <c r="O9" s="3" t="s">
        <v>18</v>
      </c>
      <c r="P9" s="5">
        <f t="shared" si="1"/>
        <v>2.5526315789473686</v>
      </c>
      <c r="Q9" s="1"/>
      <c r="R9" s="1"/>
      <c r="S9" s="1"/>
      <c r="T9" s="1"/>
      <c r="U9" s="12"/>
      <c r="V9" s="12"/>
      <c r="W9" s="12"/>
      <c r="X9" s="12"/>
      <c r="Y9" s="12"/>
      <c r="Z9" s="12"/>
      <c r="AA9" s="12"/>
      <c r="AB9" s="12"/>
      <c r="AC9" s="12"/>
    </row>
    <row r="10" spans="1:29" ht="18.75" customHeight="1" x14ac:dyDescent="0.3">
      <c r="A10" s="2">
        <f>A9</f>
        <v>7</v>
      </c>
      <c r="B10" s="3" t="s">
        <v>48</v>
      </c>
      <c r="C10" s="3" t="s">
        <v>59</v>
      </c>
      <c r="D10" s="3">
        <v>85</v>
      </c>
      <c r="E10" s="3">
        <v>38</v>
      </c>
      <c r="F10" s="3" t="s">
        <v>15</v>
      </c>
      <c r="G10" s="4">
        <f t="shared" si="0"/>
        <v>2.236842105263158</v>
      </c>
      <c r="H10" s="1"/>
      <c r="I10" s="1"/>
      <c r="J10" s="2">
        <f>J9+1</f>
        <v>8</v>
      </c>
      <c r="K10" s="3" t="s">
        <v>53</v>
      </c>
      <c r="L10" s="3" t="s">
        <v>35</v>
      </c>
      <c r="M10" s="3">
        <v>96</v>
      </c>
      <c r="N10" s="3">
        <v>38</v>
      </c>
      <c r="O10" s="3" t="s">
        <v>18</v>
      </c>
      <c r="P10" s="5">
        <f t="shared" si="1"/>
        <v>2.5263157894736841</v>
      </c>
      <c r="Q10" s="1"/>
      <c r="R10" s="1"/>
      <c r="S10" s="1"/>
      <c r="T10" s="1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ht="18.75" customHeight="1" x14ac:dyDescent="0.3">
      <c r="A11" s="2">
        <f>A10+2</f>
        <v>9</v>
      </c>
      <c r="B11" s="3" t="s">
        <v>13</v>
      </c>
      <c r="C11" s="3" t="s">
        <v>40</v>
      </c>
      <c r="D11" s="3">
        <v>84</v>
      </c>
      <c r="E11" s="3">
        <v>38</v>
      </c>
      <c r="F11" s="3" t="s">
        <v>15</v>
      </c>
      <c r="G11" s="4">
        <f t="shared" si="0"/>
        <v>2.2105263157894739</v>
      </c>
      <c r="H11" s="1"/>
      <c r="I11" s="1"/>
      <c r="J11" s="2">
        <f>J10+1</f>
        <v>9</v>
      </c>
      <c r="K11" s="3" t="s">
        <v>53</v>
      </c>
      <c r="L11" s="3" t="s">
        <v>14</v>
      </c>
      <c r="M11" s="3">
        <v>95</v>
      </c>
      <c r="N11" s="3">
        <v>38</v>
      </c>
      <c r="O11" s="3" t="s">
        <v>18</v>
      </c>
      <c r="P11" s="5">
        <f t="shared" si="1"/>
        <v>2.5</v>
      </c>
      <c r="Q11" s="1"/>
      <c r="R11" s="1"/>
      <c r="S11" s="1"/>
      <c r="T11" s="1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ht="18.75" customHeight="1" x14ac:dyDescent="0.3">
      <c r="A12" s="2">
        <f>A11</f>
        <v>9</v>
      </c>
      <c r="B12" s="3" t="s">
        <v>34</v>
      </c>
      <c r="C12" s="3" t="s">
        <v>54</v>
      </c>
      <c r="D12" s="3">
        <v>84</v>
      </c>
      <c r="E12" s="3">
        <v>38</v>
      </c>
      <c r="F12" s="3" t="s">
        <v>15</v>
      </c>
      <c r="G12" s="4">
        <f t="shared" si="0"/>
        <v>2.2105263157894739</v>
      </c>
      <c r="H12" s="1"/>
      <c r="I12" s="1"/>
      <c r="J12" s="2">
        <f>J11+1</f>
        <v>10</v>
      </c>
      <c r="K12" s="3" t="s">
        <v>53</v>
      </c>
      <c r="L12" s="3" t="s">
        <v>54</v>
      </c>
      <c r="M12" s="3">
        <v>94</v>
      </c>
      <c r="N12" s="3">
        <v>38</v>
      </c>
      <c r="O12" s="3" t="s">
        <v>18</v>
      </c>
      <c r="P12" s="5">
        <f t="shared" si="1"/>
        <v>2.4736842105263159</v>
      </c>
      <c r="Q12" s="1"/>
      <c r="R12" s="1"/>
      <c r="S12" s="1"/>
      <c r="T12" s="1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ht="18.75" customHeight="1" x14ac:dyDescent="0.3">
      <c r="H13" s="1"/>
      <c r="I13" s="1"/>
      <c r="J13" s="2">
        <f>J12</f>
        <v>10</v>
      </c>
      <c r="K13" s="3" t="s">
        <v>13</v>
      </c>
      <c r="L13" s="3" t="s">
        <v>26</v>
      </c>
      <c r="M13" s="3">
        <v>94</v>
      </c>
      <c r="N13" s="3">
        <v>38</v>
      </c>
      <c r="O13" s="3" t="s">
        <v>15</v>
      </c>
      <c r="P13" s="5">
        <f t="shared" si="1"/>
        <v>2.4736842105263159</v>
      </c>
      <c r="Q13" s="1"/>
      <c r="R13" s="1"/>
      <c r="S13" s="1"/>
      <c r="T13" s="1"/>
      <c r="U13" s="12"/>
      <c r="V13" s="12"/>
    </row>
    <row r="14" spans="1:29" ht="18.75" customHeight="1" x14ac:dyDescent="0.3"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2"/>
      <c r="V14" s="12"/>
    </row>
    <row r="15" spans="1:29" ht="18.75" customHeight="1" x14ac:dyDescent="0.3">
      <c r="H15" s="1"/>
      <c r="I15" s="1"/>
      <c r="Q15" s="1"/>
      <c r="R15" s="1"/>
      <c r="S15" s="1"/>
      <c r="T15" s="1"/>
      <c r="U15" s="12"/>
      <c r="V15" s="12"/>
    </row>
    <row r="16" spans="1:29" ht="18.75" customHeight="1" x14ac:dyDescent="0.3">
      <c r="A16" s="21" t="s">
        <v>199</v>
      </c>
      <c r="B16" s="20"/>
      <c r="C16" s="20"/>
      <c r="D16" s="20"/>
      <c r="E16" s="20"/>
      <c r="F16" s="20"/>
      <c r="G16" s="20"/>
      <c r="H16" s="1"/>
      <c r="I16" s="1"/>
      <c r="J16" s="21" t="s">
        <v>200</v>
      </c>
      <c r="K16" s="20"/>
      <c r="L16" s="20"/>
      <c r="M16" s="20"/>
      <c r="N16" s="20"/>
      <c r="O16" s="20"/>
      <c r="P16" s="20"/>
      <c r="Q16" s="1"/>
      <c r="R16" s="1"/>
      <c r="S16" s="1"/>
      <c r="T16" s="1"/>
      <c r="U16" s="12"/>
      <c r="V16" s="12"/>
    </row>
    <row r="17" spans="1:29" ht="18.75" customHeight="1" x14ac:dyDescent="0.3">
      <c r="A17" s="2" t="s">
        <v>4</v>
      </c>
      <c r="B17" s="2" t="s">
        <v>5</v>
      </c>
      <c r="C17" s="2" t="s">
        <v>6</v>
      </c>
      <c r="D17" s="2" t="s">
        <v>7</v>
      </c>
      <c r="E17" s="2" t="s">
        <v>8</v>
      </c>
      <c r="F17" s="2" t="s">
        <v>9</v>
      </c>
      <c r="G17" s="2" t="s">
        <v>10</v>
      </c>
      <c r="H17" s="1"/>
      <c r="I17" s="1"/>
      <c r="J17" s="2" t="s">
        <v>4</v>
      </c>
      <c r="K17" s="2" t="s">
        <v>5</v>
      </c>
      <c r="L17" s="2" t="s">
        <v>6</v>
      </c>
      <c r="M17" s="2" t="s">
        <v>201</v>
      </c>
      <c r="N17" s="2" t="s">
        <v>8</v>
      </c>
      <c r="O17" s="2" t="s">
        <v>9</v>
      </c>
      <c r="P17" s="2" t="s">
        <v>202</v>
      </c>
      <c r="Q17" s="1"/>
      <c r="R17" s="1"/>
      <c r="S17" s="1"/>
      <c r="T17" s="1"/>
      <c r="U17" s="12"/>
      <c r="V17" s="12"/>
    </row>
    <row r="18" spans="1:29" ht="18.75" customHeight="1" x14ac:dyDescent="0.3">
      <c r="A18" s="2">
        <v>1</v>
      </c>
      <c r="B18" s="3" t="s">
        <v>53</v>
      </c>
      <c r="C18" s="3" t="s">
        <v>29</v>
      </c>
      <c r="D18" s="3">
        <v>100</v>
      </c>
      <c r="E18" s="3">
        <v>38</v>
      </c>
      <c r="F18" s="3" t="s">
        <v>18</v>
      </c>
      <c r="G18" s="5">
        <f t="shared" ref="G18:G28" si="2">D18/E18</f>
        <v>2.6315789473684212</v>
      </c>
      <c r="H18" s="1"/>
      <c r="I18" s="1"/>
      <c r="J18" s="2">
        <v>1</v>
      </c>
      <c r="K18" s="3" t="s">
        <v>48</v>
      </c>
      <c r="L18" s="3" t="s">
        <v>49</v>
      </c>
      <c r="M18" s="3">
        <v>15</v>
      </c>
      <c r="N18" s="3">
        <v>38</v>
      </c>
      <c r="O18" s="3" t="s">
        <v>18</v>
      </c>
      <c r="P18" s="5">
        <f t="shared" ref="P18:P27" si="3">M18/N18</f>
        <v>0.39473684210526316</v>
      </c>
      <c r="Q18" s="1"/>
      <c r="R18" s="1"/>
      <c r="S18" s="1"/>
      <c r="T18" s="1"/>
      <c r="U18" s="12"/>
      <c r="V18" s="12"/>
    </row>
    <row r="19" spans="1:29" ht="18.75" customHeight="1" x14ac:dyDescent="0.3">
      <c r="A19" s="2">
        <f>A18+1</f>
        <v>2</v>
      </c>
      <c r="B19" s="3" t="s">
        <v>13</v>
      </c>
      <c r="C19" s="3" t="s">
        <v>31</v>
      </c>
      <c r="D19" s="3">
        <v>99</v>
      </c>
      <c r="E19" s="3">
        <v>38</v>
      </c>
      <c r="F19" s="3" t="s">
        <v>18</v>
      </c>
      <c r="G19" s="5">
        <f t="shared" si="2"/>
        <v>2.6052631578947367</v>
      </c>
      <c r="H19" s="1"/>
      <c r="I19" s="1"/>
      <c r="J19" s="2">
        <f>J18+1</f>
        <v>2</v>
      </c>
      <c r="K19" s="3" t="s">
        <v>34</v>
      </c>
      <c r="L19" s="3" t="s">
        <v>50</v>
      </c>
      <c r="M19" s="3">
        <v>17</v>
      </c>
      <c r="N19" s="3">
        <v>38</v>
      </c>
      <c r="O19" s="3" t="s">
        <v>15</v>
      </c>
      <c r="P19" s="5">
        <f t="shared" si="3"/>
        <v>0.44736842105263158</v>
      </c>
      <c r="Q19" s="1"/>
      <c r="R19" s="1"/>
      <c r="S19" s="1"/>
      <c r="T19" s="1"/>
      <c r="U19" s="12"/>
      <c r="V19" s="12"/>
    </row>
    <row r="20" spans="1:29" ht="18.75" customHeight="1" x14ac:dyDescent="0.3">
      <c r="A20" s="2">
        <f>A19+1</f>
        <v>3</v>
      </c>
      <c r="B20" s="3" t="s">
        <v>53</v>
      </c>
      <c r="C20" s="3" t="s">
        <v>14</v>
      </c>
      <c r="D20" s="3">
        <v>98</v>
      </c>
      <c r="E20" s="3">
        <v>38</v>
      </c>
      <c r="F20" s="3" t="s">
        <v>18</v>
      </c>
      <c r="G20" s="5">
        <f t="shared" si="2"/>
        <v>2.5789473684210527</v>
      </c>
      <c r="H20" s="1"/>
      <c r="I20" s="1"/>
      <c r="J20" s="2">
        <f>J19+1</f>
        <v>3</v>
      </c>
      <c r="K20" s="3" t="s">
        <v>33</v>
      </c>
      <c r="L20" s="3" t="s">
        <v>59</v>
      </c>
      <c r="M20" s="3">
        <v>22</v>
      </c>
      <c r="N20" s="3">
        <v>38</v>
      </c>
      <c r="O20" s="3" t="s">
        <v>18</v>
      </c>
      <c r="P20" s="5">
        <f t="shared" si="3"/>
        <v>0.57894736842105265</v>
      </c>
      <c r="Q20" s="1"/>
      <c r="R20" s="1"/>
      <c r="S20" s="1"/>
      <c r="T20" s="1"/>
      <c r="U20" s="12"/>
      <c r="V20" s="12"/>
    </row>
    <row r="21" spans="1:29" ht="18.75" customHeight="1" x14ac:dyDescent="0.3">
      <c r="A21" s="2">
        <f>A20+1</f>
        <v>4</v>
      </c>
      <c r="B21" s="3" t="s">
        <v>13</v>
      </c>
      <c r="C21" s="3" t="s">
        <v>14</v>
      </c>
      <c r="D21" s="3">
        <v>97</v>
      </c>
      <c r="E21" s="3">
        <v>38</v>
      </c>
      <c r="F21" s="3" t="s">
        <v>15</v>
      </c>
      <c r="G21" s="5">
        <f t="shared" si="2"/>
        <v>2.5526315789473686</v>
      </c>
      <c r="H21" s="1"/>
      <c r="I21" s="1"/>
      <c r="J21" s="2">
        <f>J20</f>
        <v>3</v>
      </c>
      <c r="K21" s="3" t="s">
        <v>48</v>
      </c>
      <c r="L21" s="3" t="s">
        <v>37</v>
      </c>
      <c r="M21" s="3">
        <v>22</v>
      </c>
      <c r="N21" s="3">
        <v>38</v>
      </c>
      <c r="O21" s="3" t="s">
        <v>18</v>
      </c>
      <c r="P21" s="5">
        <f t="shared" si="3"/>
        <v>0.57894736842105265</v>
      </c>
      <c r="Q21" s="1"/>
      <c r="R21" s="1"/>
      <c r="S21" s="1"/>
      <c r="T21" s="1"/>
      <c r="U21" s="12"/>
      <c r="V21" s="12"/>
    </row>
    <row r="22" spans="1:29" ht="18.75" customHeight="1" x14ac:dyDescent="0.3">
      <c r="A22" s="2">
        <f>A21+1</f>
        <v>5</v>
      </c>
      <c r="B22" s="3" t="s">
        <v>48</v>
      </c>
      <c r="C22" s="3" t="s">
        <v>49</v>
      </c>
      <c r="D22" s="3">
        <v>95</v>
      </c>
      <c r="E22" s="3">
        <v>38</v>
      </c>
      <c r="F22" s="3" t="s">
        <v>18</v>
      </c>
      <c r="G22" s="5">
        <f t="shared" si="2"/>
        <v>2.5</v>
      </c>
      <c r="H22" s="1"/>
      <c r="I22" s="1"/>
      <c r="J22" s="2">
        <f>J21</f>
        <v>3</v>
      </c>
      <c r="K22" s="3" t="s">
        <v>13</v>
      </c>
      <c r="L22" s="3" t="s">
        <v>14</v>
      </c>
      <c r="M22" s="3">
        <v>22</v>
      </c>
      <c r="N22" s="3">
        <v>38</v>
      </c>
      <c r="O22" s="3" t="s">
        <v>15</v>
      </c>
      <c r="P22" s="5">
        <f t="shared" si="3"/>
        <v>0.57894736842105265</v>
      </c>
      <c r="Q22" s="1"/>
      <c r="R22" s="1"/>
      <c r="S22" s="1"/>
      <c r="T22" s="1"/>
      <c r="U22" s="12"/>
      <c r="V22" s="12"/>
    </row>
    <row r="23" spans="1:29" ht="18.75" customHeight="1" x14ac:dyDescent="0.3">
      <c r="A23" s="2">
        <f>A22+1</f>
        <v>6</v>
      </c>
      <c r="B23" s="3" t="s">
        <v>53</v>
      </c>
      <c r="C23" s="3" t="s">
        <v>26</v>
      </c>
      <c r="D23" s="3">
        <v>93</v>
      </c>
      <c r="E23" s="3">
        <v>38</v>
      </c>
      <c r="F23" s="3" t="s">
        <v>18</v>
      </c>
      <c r="G23" s="5">
        <f t="shared" si="2"/>
        <v>2.4473684210526314</v>
      </c>
      <c r="H23" s="1"/>
      <c r="I23" s="1"/>
      <c r="J23" s="2">
        <f>J22+3</f>
        <v>6</v>
      </c>
      <c r="K23" s="3" t="s">
        <v>53</v>
      </c>
      <c r="L23" s="3" t="s">
        <v>14</v>
      </c>
      <c r="M23" s="3">
        <v>23</v>
      </c>
      <c r="N23" s="3">
        <v>38</v>
      </c>
      <c r="O23" s="3" t="s">
        <v>18</v>
      </c>
      <c r="P23" s="5">
        <f t="shared" si="3"/>
        <v>0.60526315789473684</v>
      </c>
      <c r="Q23" s="1"/>
      <c r="R23" s="1"/>
      <c r="S23" s="1"/>
      <c r="T23" s="1"/>
      <c r="U23" s="12"/>
      <c r="V23" s="12"/>
    </row>
    <row r="24" spans="1:29" ht="18.75" customHeight="1" x14ac:dyDescent="0.3">
      <c r="A24" s="2">
        <f>A23</f>
        <v>6</v>
      </c>
      <c r="B24" s="3" t="s">
        <v>48</v>
      </c>
      <c r="C24" s="3" t="s">
        <v>25</v>
      </c>
      <c r="D24" s="3">
        <v>93</v>
      </c>
      <c r="E24" s="3">
        <v>38</v>
      </c>
      <c r="F24" s="3" t="s">
        <v>18</v>
      </c>
      <c r="G24" s="5">
        <f t="shared" si="2"/>
        <v>2.4473684210526314</v>
      </c>
      <c r="H24" s="1"/>
      <c r="I24" s="1"/>
      <c r="J24" s="2">
        <f>J23+1</f>
        <v>7</v>
      </c>
      <c r="K24" s="3" t="s">
        <v>33</v>
      </c>
      <c r="L24" s="3" t="s">
        <v>197</v>
      </c>
      <c r="M24" s="3">
        <v>24</v>
      </c>
      <c r="N24" s="3">
        <v>38</v>
      </c>
      <c r="O24" s="3" t="s">
        <v>18</v>
      </c>
      <c r="P24" s="5">
        <f t="shared" si="3"/>
        <v>0.63157894736842102</v>
      </c>
      <c r="Q24" s="1"/>
      <c r="R24" s="1"/>
      <c r="S24" s="1"/>
      <c r="T24" s="1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ht="18.75" customHeight="1" x14ac:dyDescent="0.3">
      <c r="A25" s="2">
        <f>A24+2</f>
        <v>8</v>
      </c>
      <c r="B25" s="3" t="s">
        <v>13</v>
      </c>
      <c r="C25" s="3" t="s">
        <v>26</v>
      </c>
      <c r="D25" s="3">
        <v>92</v>
      </c>
      <c r="E25" s="3">
        <v>38</v>
      </c>
      <c r="F25" s="3" t="s">
        <v>15</v>
      </c>
      <c r="G25" s="5">
        <f t="shared" si="2"/>
        <v>2.4210526315789473</v>
      </c>
      <c r="H25" s="1"/>
      <c r="I25" s="1"/>
      <c r="J25" s="2">
        <f>J24</f>
        <v>7</v>
      </c>
      <c r="K25" s="3" t="s">
        <v>48</v>
      </c>
      <c r="L25" s="3" t="s">
        <v>56</v>
      </c>
      <c r="M25" s="3">
        <v>24</v>
      </c>
      <c r="N25" s="3">
        <v>38</v>
      </c>
      <c r="O25" s="3" t="s">
        <v>15</v>
      </c>
      <c r="P25" s="5">
        <f t="shared" si="3"/>
        <v>0.63157894736842102</v>
      </c>
      <c r="Q25" s="1"/>
      <c r="R25" s="1"/>
      <c r="S25" s="1"/>
      <c r="T25" s="1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ht="18.75" customHeight="1" x14ac:dyDescent="0.3">
      <c r="A26" s="2">
        <f>A25+1</f>
        <v>9</v>
      </c>
      <c r="B26" s="3" t="s">
        <v>33</v>
      </c>
      <c r="C26" s="3" t="s">
        <v>133</v>
      </c>
      <c r="D26" s="3">
        <v>91</v>
      </c>
      <c r="E26" s="3">
        <v>38</v>
      </c>
      <c r="F26" s="3" t="s">
        <v>18</v>
      </c>
      <c r="G26" s="5">
        <f t="shared" si="2"/>
        <v>2.3947368421052633</v>
      </c>
      <c r="H26" s="1"/>
      <c r="I26" s="1"/>
      <c r="J26" s="2">
        <f>J25</f>
        <v>7</v>
      </c>
      <c r="K26" s="3" t="s">
        <v>48</v>
      </c>
      <c r="L26" s="3" t="s">
        <v>197</v>
      </c>
      <c r="M26" s="3">
        <v>24</v>
      </c>
      <c r="N26" s="3">
        <v>38</v>
      </c>
      <c r="O26" s="3" t="s">
        <v>44</v>
      </c>
      <c r="P26" s="5">
        <f t="shared" si="3"/>
        <v>0.63157894736842102</v>
      </c>
      <c r="Q26" s="12"/>
      <c r="R26" s="12"/>
      <c r="S26" s="12"/>
      <c r="T26" s="12"/>
      <c r="U26" s="12"/>
      <c r="V26" s="12"/>
    </row>
    <row r="27" spans="1:29" ht="18.75" customHeight="1" x14ac:dyDescent="0.3">
      <c r="A27" s="2">
        <f>A26</f>
        <v>9</v>
      </c>
      <c r="B27" s="3" t="s">
        <v>53</v>
      </c>
      <c r="C27" s="3" t="s">
        <v>35</v>
      </c>
      <c r="D27" s="3">
        <v>91</v>
      </c>
      <c r="E27" s="3">
        <v>38</v>
      </c>
      <c r="F27" s="3" t="s">
        <v>18</v>
      </c>
      <c r="G27" s="5">
        <f t="shared" si="2"/>
        <v>2.3947368421052633</v>
      </c>
      <c r="H27" s="1"/>
      <c r="I27" s="1"/>
      <c r="J27" s="2">
        <f>J26+3</f>
        <v>10</v>
      </c>
      <c r="K27" s="3" t="s">
        <v>13</v>
      </c>
      <c r="L27" s="3" t="s">
        <v>37</v>
      </c>
      <c r="M27" s="3">
        <v>25</v>
      </c>
      <c r="N27" s="3">
        <v>38</v>
      </c>
      <c r="O27" s="3" t="s">
        <v>15</v>
      </c>
      <c r="P27" s="5">
        <f t="shared" si="3"/>
        <v>0.65789473684210531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ht="18.75" customHeight="1" x14ac:dyDescent="0.3">
      <c r="A28" s="2">
        <f>A26</f>
        <v>9</v>
      </c>
      <c r="B28" s="3" t="s">
        <v>48</v>
      </c>
      <c r="C28" s="3" t="s">
        <v>37</v>
      </c>
      <c r="D28" s="3">
        <v>91</v>
      </c>
      <c r="E28" s="3">
        <v>38</v>
      </c>
      <c r="F28" s="3" t="s">
        <v>18</v>
      </c>
      <c r="G28" s="5">
        <f t="shared" si="2"/>
        <v>2.3947368421052633</v>
      </c>
      <c r="H28" s="1"/>
      <c r="I28" s="1"/>
      <c r="J28" s="1"/>
      <c r="K28" s="1"/>
      <c r="L28" s="1"/>
      <c r="M28" s="1"/>
      <c r="N28" s="1"/>
      <c r="O28" s="1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ht="18.75" customHeight="1" x14ac:dyDescent="0.3">
      <c r="A29" s="12"/>
      <c r="B29" s="12"/>
      <c r="C29" s="12"/>
      <c r="D29" s="12"/>
      <c r="E29" s="12"/>
      <c r="F29" s="12"/>
      <c r="G29" s="12"/>
      <c r="H29" s="1"/>
      <c r="I29" s="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ht="18.75" customHeight="1" x14ac:dyDescent="0.3">
      <c r="H30" s="1"/>
      <c r="I30" s="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ht="18.75" customHeight="1" x14ac:dyDescent="0.3">
      <c r="H31" s="1"/>
      <c r="I31" s="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ht="18.75" customHeight="1" x14ac:dyDescent="0.3">
      <c r="H32" s="1"/>
      <c r="I32" s="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ht="18.75" customHeight="1" x14ac:dyDescent="0.3">
      <c r="H33" s="1"/>
      <c r="I33" s="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ht="18.75" customHeight="1" x14ac:dyDescent="0.3">
      <c r="H34" s="1"/>
      <c r="I34" s="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ht="18.75" customHeight="1" x14ac:dyDescent="0.3">
      <c r="H35" s="1"/>
      <c r="I35" s="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ht="18.75" customHeight="1" x14ac:dyDescent="0.3">
      <c r="H36" s="1"/>
      <c r="I36" s="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ht="18.75" customHeight="1" x14ac:dyDescent="0.3">
      <c r="H37" s="1"/>
      <c r="I37" s="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ht="18.75" customHeight="1" x14ac:dyDescent="0.3">
      <c r="H38" s="1"/>
      <c r="I38" s="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ht="18.75" customHeight="1" x14ac:dyDescent="0.3">
      <c r="H39" s="1"/>
      <c r="I39" s="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ht="18.75" customHeight="1" x14ac:dyDescent="0.3">
      <c r="H40" s="1"/>
      <c r="I40" s="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18.75" customHeight="1" x14ac:dyDescent="0.3">
      <c r="H41" s="1"/>
      <c r="I41" s="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ht="18.75" customHeight="1" x14ac:dyDescent="0.3">
      <c r="H42" s="1"/>
      <c r="I42" s="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ht="18.75" customHeight="1" x14ac:dyDescent="0.3">
      <c r="H43" s="1"/>
      <c r="I43" s="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ht="18.75" customHeight="1" x14ac:dyDescent="0.3">
      <c r="H44" s="1"/>
      <c r="I44" s="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x14ac:dyDescent="0.25"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x14ac:dyDescent="0.25"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</sheetData>
  <mergeCells count="4">
    <mergeCell ref="J1:P1"/>
    <mergeCell ref="J16:P16"/>
    <mergeCell ref="A16:G16"/>
    <mergeCell ref="A1:G1"/>
  </mergeCells>
  <conditionalFormatting sqref="G3:G12"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8:G28"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13"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8:P27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8"/>
  <sheetViews>
    <sheetView workbookViewId="0">
      <selection activeCell="H7" sqref="H7"/>
    </sheetView>
  </sheetViews>
  <sheetFormatPr baseColWidth="10" defaultRowHeight="15" x14ac:dyDescent="0.25"/>
  <cols>
    <col min="1" max="1" width="10.140625" bestFit="1" customWidth="1"/>
    <col min="2" max="2" width="32.7109375" bestFit="1" customWidth="1"/>
    <col min="3" max="3" width="14.85546875" customWidth="1"/>
    <col min="4" max="4" width="14" bestFit="1" customWidth="1"/>
    <col min="5" max="5" width="30.7109375" bestFit="1" customWidth="1"/>
    <col min="6" max="6" width="22.42578125" bestFit="1" customWidth="1"/>
    <col min="7" max="7" width="13.85546875" bestFit="1" customWidth="1"/>
    <col min="8" max="8" width="34.42578125" customWidth="1"/>
    <col min="12" max="12" width="31.140625" bestFit="1" customWidth="1"/>
    <col min="13" max="13" width="15.28515625" customWidth="1"/>
    <col min="14" max="14" width="19" bestFit="1" customWidth="1"/>
    <col min="15" max="15" width="22.42578125" bestFit="1" customWidth="1"/>
    <col min="16" max="16" width="13.85546875" bestFit="1" customWidth="1"/>
    <col min="17" max="17" width="32.140625" bestFit="1" customWidth="1"/>
  </cols>
  <sheetData>
    <row r="1" spans="1:17" ht="18.75" customHeight="1" x14ac:dyDescent="0.3">
      <c r="A1" s="21" t="s">
        <v>203</v>
      </c>
      <c r="B1" s="20"/>
      <c r="C1" s="20"/>
      <c r="D1" s="20"/>
      <c r="E1" s="20"/>
      <c r="F1" s="20"/>
      <c r="G1" s="20"/>
      <c r="H1" s="20"/>
      <c r="K1" s="21" t="s">
        <v>204</v>
      </c>
      <c r="L1" s="20"/>
      <c r="M1" s="20"/>
      <c r="N1" s="20"/>
      <c r="O1" s="20"/>
      <c r="P1" s="20"/>
      <c r="Q1" s="20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10</v>
      </c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</row>
    <row r="3" spans="1:17" ht="18.75" customHeight="1" x14ac:dyDescent="0.3">
      <c r="A3" s="2">
        <v>1</v>
      </c>
      <c r="B3" s="3" t="s">
        <v>115</v>
      </c>
      <c r="C3" s="3" t="s">
        <v>116</v>
      </c>
      <c r="D3" s="3">
        <v>64</v>
      </c>
      <c r="E3" s="3" t="s">
        <v>117</v>
      </c>
      <c r="F3" s="3">
        <v>42</v>
      </c>
      <c r="G3" s="3" t="s">
        <v>15</v>
      </c>
      <c r="H3" s="5">
        <f t="shared" ref="H3:H11" si="0">(D3/84)*3</f>
        <v>2.2857142857142856</v>
      </c>
      <c r="K3" s="2">
        <v>1</v>
      </c>
      <c r="L3" s="3" t="s">
        <v>198</v>
      </c>
      <c r="M3" s="3" t="s">
        <v>72</v>
      </c>
      <c r="N3" s="3">
        <v>115</v>
      </c>
      <c r="O3" s="3">
        <v>42</v>
      </c>
      <c r="P3" s="3" t="s">
        <v>18</v>
      </c>
      <c r="Q3" s="5">
        <f t="shared" ref="Q3:Q12" si="1">N3/O3</f>
        <v>2.7380952380952381</v>
      </c>
    </row>
    <row r="4" spans="1:17" ht="18.75" customHeight="1" x14ac:dyDescent="0.3">
      <c r="A4" s="2">
        <f>A3+1</f>
        <v>2</v>
      </c>
      <c r="B4" s="3" t="s">
        <v>13</v>
      </c>
      <c r="C4" s="3" t="s">
        <v>80</v>
      </c>
      <c r="D4" s="3">
        <v>61</v>
      </c>
      <c r="E4" s="3" t="s">
        <v>117</v>
      </c>
      <c r="F4" s="3">
        <v>42</v>
      </c>
      <c r="G4" s="3" t="s">
        <v>15</v>
      </c>
      <c r="H4" s="5">
        <f t="shared" si="0"/>
        <v>2.1785714285714284</v>
      </c>
      <c r="K4" s="2">
        <f>K3+1</f>
        <v>2</v>
      </c>
      <c r="L4" s="3" t="s">
        <v>198</v>
      </c>
      <c r="M4" s="3" t="s">
        <v>155</v>
      </c>
      <c r="N4" s="3">
        <v>111</v>
      </c>
      <c r="O4" s="3">
        <v>42</v>
      </c>
      <c r="P4" s="3" t="s">
        <v>15</v>
      </c>
      <c r="Q4" s="5">
        <f t="shared" si="1"/>
        <v>2.6428571428571428</v>
      </c>
    </row>
    <row r="5" spans="1:17" ht="18.75" customHeight="1" x14ac:dyDescent="0.3">
      <c r="A5" s="2">
        <f>A4</f>
        <v>2</v>
      </c>
      <c r="B5" s="3" t="s">
        <v>115</v>
      </c>
      <c r="C5" s="3" t="s">
        <v>146</v>
      </c>
      <c r="D5" s="3">
        <v>61</v>
      </c>
      <c r="E5" s="3" t="s">
        <v>117</v>
      </c>
      <c r="F5" s="3">
        <v>42</v>
      </c>
      <c r="G5" s="3" t="s">
        <v>15</v>
      </c>
      <c r="H5" s="5">
        <f t="shared" si="0"/>
        <v>2.1785714285714284</v>
      </c>
      <c r="K5" s="2">
        <f>K4+1</f>
        <v>3</v>
      </c>
      <c r="L5" s="3" t="s">
        <v>205</v>
      </c>
      <c r="M5" s="3" t="s">
        <v>63</v>
      </c>
      <c r="N5" s="3">
        <v>110</v>
      </c>
      <c r="O5" s="3">
        <v>42</v>
      </c>
      <c r="P5" s="3" t="s">
        <v>18</v>
      </c>
      <c r="Q5" s="5">
        <f t="shared" si="1"/>
        <v>2.6190476190476191</v>
      </c>
    </row>
    <row r="6" spans="1:17" ht="18.75" customHeight="1" x14ac:dyDescent="0.3">
      <c r="A6" s="2">
        <f>A4+2</f>
        <v>4</v>
      </c>
      <c r="B6" s="3" t="s">
        <v>206</v>
      </c>
      <c r="C6" s="3" t="s">
        <v>78</v>
      </c>
      <c r="D6" s="3">
        <v>60</v>
      </c>
      <c r="E6" s="3" t="s">
        <v>117</v>
      </c>
      <c r="F6" s="3">
        <v>42</v>
      </c>
      <c r="G6" s="3" t="s">
        <v>15</v>
      </c>
      <c r="H6" s="5">
        <f t="shared" si="0"/>
        <v>2.1428571428571428</v>
      </c>
      <c r="K6" s="2">
        <f>K5+1</f>
        <v>4</v>
      </c>
      <c r="L6" s="3" t="s">
        <v>205</v>
      </c>
      <c r="M6" s="3" t="s">
        <v>68</v>
      </c>
      <c r="N6" s="3">
        <v>106</v>
      </c>
      <c r="O6" s="3">
        <v>42</v>
      </c>
      <c r="P6" s="3" t="s">
        <v>15</v>
      </c>
      <c r="Q6" s="5">
        <f t="shared" si="1"/>
        <v>2.5238095238095237</v>
      </c>
    </row>
    <row r="7" spans="1:17" ht="18.75" customHeight="1" x14ac:dyDescent="0.3">
      <c r="A7" s="2">
        <f>A9</f>
        <v>5</v>
      </c>
      <c r="B7" s="3" t="s">
        <v>207</v>
      </c>
      <c r="C7" s="3" t="s">
        <v>208</v>
      </c>
      <c r="D7" s="3">
        <v>59</v>
      </c>
      <c r="E7" s="3" t="s">
        <v>117</v>
      </c>
      <c r="F7" s="3">
        <v>42</v>
      </c>
      <c r="G7" s="3" t="s">
        <v>15</v>
      </c>
      <c r="H7" s="5">
        <f t="shared" si="0"/>
        <v>2.1071428571428568</v>
      </c>
      <c r="K7" s="2">
        <f>K6+1</f>
        <v>5</v>
      </c>
      <c r="L7" s="3" t="s">
        <v>198</v>
      </c>
      <c r="M7" s="3" t="s">
        <v>147</v>
      </c>
      <c r="N7" s="3">
        <v>104</v>
      </c>
      <c r="O7" s="3">
        <v>42</v>
      </c>
      <c r="P7" s="3" t="s">
        <v>15</v>
      </c>
      <c r="Q7" s="5">
        <f t="shared" si="1"/>
        <v>2.4761904761904763</v>
      </c>
    </row>
    <row r="8" spans="1:17" ht="18.75" customHeight="1" x14ac:dyDescent="0.3">
      <c r="A8" s="2">
        <f>A9</f>
        <v>5</v>
      </c>
      <c r="B8" s="3" t="s">
        <v>100</v>
      </c>
      <c r="C8" s="3" t="s">
        <v>150</v>
      </c>
      <c r="D8" s="3">
        <v>59</v>
      </c>
      <c r="E8" s="3" t="s">
        <v>117</v>
      </c>
      <c r="F8" s="3">
        <v>42</v>
      </c>
      <c r="G8" s="3" t="s">
        <v>15</v>
      </c>
      <c r="H8" s="5">
        <f t="shared" si="0"/>
        <v>2.1071428571428568</v>
      </c>
      <c r="K8" s="2">
        <f>K7</f>
        <v>5</v>
      </c>
      <c r="L8" s="3" t="s">
        <v>53</v>
      </c>
      <c r="M8" s="3" t="s">
        <v>150</v>
      </c>
      <c r="N8" s="3">
        <v>104</v>
      </c>
      <c r="O8" s="3">
        <v>42</v>
      </c>
      <c r="P8" s="3" t="s">
        <v>109</v>
      </c>
      <c r="Q8" s="5">
        <f t="shared" si="1"/>
        <v>2.4761904761904763</v>
      </c>
    </row>
    <row r="9" spans="1:17" ht="18.75" customHeight="1" x14ac:dyDescent="0.3">
      <c r="A9" s="2">
        <f>A6+1</f>
        <v>5</v>
      </c>
      <c r="B9" s="3" t="s">
        <v>209</v>
      </c>
      <c r="C9" s="3" t="s">
        <v>78</v>
      </c>
      <c r="D9" s="3">
        <v>59</v>
      </c>
      <c r="E9" s="3" t="s">
        <v>117</v>
      </c>
      <c r="F9" s="3">
        <v>42</v>
      </c>
      <c r="G9" s="3" t="s">
        <v>44</v>
      </c>
      <c r="H9" s="5">
        <f t="shared" si="0"/>
        <v>2.1071428571428568</v>
      </c>
      <c r="K9" s="2">
        <f>K8+2</f>
        <v>7</v>
      </c>
      <c r="L9" s="3" t="s">
        <v>205</v>
      </c>
      <c r="M9" s="3" t="s">
        <v>150</v>
      </c>
      <c r="N9" s="3">
        <v>103</v>
      </c>
      <c r="O9" s="3">
        <v>42</v>
      </c>
      <c r="P9" s="3" t="s">
        <v>18</v>
      </c>
      <c r="Q9" s="5">
        <f t="shared" si="1"/>
        <v>2.4523809523809526</v>
      </c>
    </row>
    <row r="10" spans="1:17" ht="18.75" customHeight="1" x14ac:dyDescent="0.3">
      <c r="A10" s="2">
        <f>A7+3</f>
        <v>8</v>
      </c>
      <c r="B10" s="3" t="s">
        <v>33</v>
      </c>
      <c r="C10" s="3" t="s">
        <v>121</v>
      </c>
      <c r="D10" s="3">
        <v>58</v>
      </c>
      <c r="E10" s="3" t="s">
        <v>117</v>
      </c>
      <c r="F10" s="3">
        <v>42</v>
      </c>
      <c r="G10" s="3" t="s">
        <v>15</v>
      </c>
      <c r="H10" s="5">
        <f t="shared" si="0"/>
        <v>2.0714285714285712</v>
      </c>
      <c r="K10" s="2">
        <f>K9</f>
        <v>7</v>
      </c>
      <c r="L10" s="3" t="s">
        <v>33</v>
      </c>
      <c r="M10" s="3" t="s">
        <v>147</v>
      </c>
      <c r="N10" s="3">
        <v>103</v>
      </c>
      <c r="O10" s="3">
        <v>42</v>
      </c>
      <c r="P10" s="3" t="s">
        <v>18</v>
      </c>
      <c r="Q10" s="5">
        <f t="shared" si="1"/>
        <v>2.4523809523809526</v>
      </c>
    </row>
    <row r="11" spans="1:17" ht="18.75" customHeight="1" x14ac:dyDescent="0.3">
      <c r="A11" s="2">
        <f>A10</f>
        <v>8</v>
      </c>
      <c r="B11" s="3" t="s">
        <v>210</v>
      </c>
      <c r="C11" s="3" t="s">
        <v>72</v>
      </c>
      <c r="D11" s="3">
        <v>58</v>
      </c>
      <c r="E11" s="3" t="s">
        <v>117</v>
      </c>
      <c r="F11" s="3">
        <v>42</v>
      </c>
      <c r="G11" s="3" t="s">
        <v>15</v>
      </c>
      <c r="H11" s="5">
        <f t="shared" si="0"/>
        <v>2.0714285714285712</v>
      </c>
      <c r="K11" s="2">
        <f>K10</f>
        <v>7</v>
      </c>
      <c r="L11" s="3" t="s">
        <v>205</v>
      </c>
      <c r="M11" s="3" t="s">
        <v>72</v>
      </c>
      <c r="N11" s="3">
        <v>103</v>
      </c>
      <c r="O11" s="3">
        <v>42</v>
      </c>
      <c r="P11" s="3" t="s">
        <v>44</v>
      </c>
      <c r="Q11" s="5">
        <f t="shared" si="1"/>
        <v>2.4523809523809526</v>
      </c>
    </row>
    <row r="12" spans="1:17" ht="18.75" customHeight="1" x14ac:dyDescent="0.3">
      <c r="A12" s="2">
        <f>A11+2</f>
        <v>10</v>
      </c>
      <c r="B12" s="3" t="s">
        <v>211</v>
      </c>
      <c r="C12" s="3" t="s">
        <v>144</v>
      </c>
      <c r="D12" s="3">
        <v>86</v>
      </c>
      <c r="E12" s="3">
        <v>126</v>
      </c>
      <c r="F12" s="3">
        <v>42</v>
      </c>
      <c r="G12" s="3" t="s">
        <v>15</v>
      </c>
      <c r="H12" s="5">
        <f>(D12/F12)</f>
        <v>2.0476190476190474</v>
      </c>
      <c r="K12" s="2">
        <f>K11</f>
        <v>7</v>
      </c>
      <c r="L12" s="3" t="s">
        <v>33</v>
      </c>
      <c r="M12" s="3" t="s">
        <v>63</v>
      </c>
      <c r="N12" s="3">
        <v>103</v>
      </c>
      <c r="O12" s="3">
        <v>42</v>
      </c>
      <c r="P12" s="3" t="s">
        <v>98</v>
      </c>
      <c r="Q12" s="5">
        <f t="shared" si="1"/>
        <v>2.4523809523809526</v>
      </c>
    </row>
    <row r="17" spans="1:17" ht="18.75" customHeight="1" x14ac:dyDescent="0.3">
      <c r="A17" s="21" t="s">
        <v>212</v>
      </c>
      <c r="B17" s="20"/>
      <c r="C17" s="20"/>
      <c r="D17" s="20"/>
      <c r="E17" s="20"/>
      <c r="F17" s="20"/>
      <c r="G17" s="20"/>
      <c r="H17" s="20"/>
      <c r="K17" s="21" t="s">
        <v>213</v>
      </c>
      <c r="L17" s="20"/>
      <c r="M17" s="20"/>
      <c r="N17" s="20"/>
      <c r="O17" s="20"/>
      <c r="P17" s="20"/>
      <c r="Q17" s="20"/>
    </row>
    <row r="18" spans="1:17" ht="18.75" customHeight="1" x14ac:dyDescent="0.3">
      <c r="A18" s="2" t="s">
        <v>4</v>
      </c>
      <c r="B18" s="2" t="s">
        <v>5</v>
      </c>
      <c r="C18" s="2" t="s">
        <v>6</v>
      </c>
      <c r="D18" s="2" t="s">
        <v>7</v>
      </c>
      <c r="E18" s="2" t="s">
        <v>62</v>
      </c>
      <c r="F18" s="2" t="s">
        <v>8</v>
      </c>
      <c r="G18" s="2" t="s">
        <v>9</v>
      </c>
      <c r="H18" s="2" t="s">
        <v>10</v>
      </c>
      <c r="K18" s="2" t="s">
        <v>4</v>
      </c>
      <c r="L18" s="2" t="s">
        <v>5</v>
      </c>
      <c r="M18" s="2" t="s">
        <v>6</v>
      </c>
      <c r="N18" s="2" t="s">
        <v>201</v>
      </c>
      <c r="O18" s="2" t="s">
        <v>8</v>
      </c>
      <c r="P18" s="2" t="s">
        <v>9</v>
      </c>
      <c r="Q18" s="2" t="s">
        <v>202</v>
      </c>
    </row>
    <row r="19" spans="1:17" ht="18.75" customHeight="1" x14ac:dyDescent="0.3">
      <c r="A19" s="2">
        <v>1</v>
      </c>
      <c r="B19" s="3" t="s">
        <v>13</v>
      </c>
      <c r="C19" s="3" t="s">
        <v>78</v>
      </c>
      <c r="D19" s="3">
        <v>68</v>
      </c>
      <c r="E19" s="3" t="s">
        <v>117</v>
      </c>
      <c r="F19" s="3">
        <v>42</v>
      </c>
      <c r="G19" s="3" t="s">
        <v>18</v>
      </c>
      <c r="H19" s="5">
        <f t="shared" ref="H19:H28" si="2">(D19/84)*3</f>
        <v>2.4285714285714288</v>
      </c>
      <c r="K19" s="2">
        <v>1</v>
      </c>
      <c r="L19" s="3" t="s">
        <v>13</v>
      </c>
      <c r="M19" s="3" t="s">
        <v>78</v>
      </c>
      <c r="N19" s="3">
        <v>16</v>
      </c>
      <c r="O19" s="3">
        <v>42</v>
      </c>
      <c r="P19" s="3" t="s">
        <v>18</v>
      </c>
      <c r="Q19" s="5">
        <f t="shared" ref="Q19:Q28" si="3">N19/O19</f>
        <v>0.38095238095238093</v>
      </c>
    </row>
    <row r="20" spans="1:17" ht="18.75" customHeight="1" x14ac:dyDescent="0.3">
      <c r="A20" s="2">
        <f>A19+1</f>
        <v>2</v>
      </c>
      <c r="B20" s="3" t="s">
        <v>115</v>
      </c>
      <c r="C20" s="3" t="s">
        <v>80</v>
      </c>
      <c r="D20" s="3">
        <v>67</v>
      </c>
      <c r="E20" s="3" t="s">
        <v>117</v>
      </c>
      <c r="F20" s="3">
        <v>42</v>
      </c>
      <c r="G20" s="3" t="s">
        <v>18</v>
      </c>
      <c r="H20" s="5">
        <f t="shared" si="2"/>
        <v>2.3928571428571432</v>
      </c>
      <c r="K20" s="2">
        <f>K19+1</f>
        <v>2</v>
      </c>
      <c r="L20" s="3" t="s">
        <v>34</v>
      </c>
      <c r="M20" s="3" t="s">
        <v>84</v>
      </c>
      <c r="N20" s="3">
        <v>18</v>
      </c>
      <c r="O20" s="3">
        <v>38</v>
      </c>
      <c r="P20" s="3" t="s">
        <v>18</v>
      </c>
      <c r="Q20" s="5">
        <f t="shared" si="3"/>
        <v>0.47368421052631576</v>
      </c>
    </row>
    <row r="21" spans="1:17" ht="18.75" customHeight="1" x14ac:dyDescent="0.3">
      <c r="A21" s="2">
        <f>A20</f>
        <v>2</v>
      </c>
      <c r="B21" s="3" t="s">
        <v>214</v>
      </c>
      <c r="C21" s="3" t="s">
        <v>80</v>
      </c>
      <c r="D21" s="3">
        <v>67</v>
      </c>
      <c r="E21" s="3" t="s">
        <v>117</v>
      </c>
      <c r="F21" s="3">
        <v>42</v>
      </c>
      <c r="G21" s="3" t="s">
        <v>18</v>
      </c>
      <c r="H21" s="5">
        <f t="shared" si="2"/>
        <v>2.3928571428571432</v>
      </c>
      <c r="K21" s="2">
        <f>K20+1</f>
        <v>3</v>
      </c>
      <c r="L21" s="3" t="s">
        <v>206</v>
      </c>
      <c r="M21" s="3" t="s">
        <v>143</v>
      </c>
      <c r="N21" s="3">
        <v>24</v>
      </c>
      <c r="O21" s="3">
        <v>42</v>
      </c>
      <c r="P21" s="3" t="s">
        <v>18</v>
      </c>
      <c r="Q21" s="5">
        <f t="shared" si="3"/>
        <v>0.5714285714285714</v>
      </c>
    </row>
    <row r="22" spans="1:17" ht="18.75" customHeight="1" x14ac:dyDescent="0.3">
      <c r="A22" s="2">
        <f>A21+2</f>
        <v>4</v>
      </c>
      <c r="B22" s="3" t="s">
        <v>198</v>
      </c>
      <c r="C22" s="3" t="s">
        <v>72</v>
      </c>
      <c r="D22" s="3">
        <v>66</v>
      </c>
      <c r="E22" s="3" t="s">
        <v>117</v>
      </c>
      <c r="F22" s="3">
        <v>42</v>
      </c>
      <c r="G22" s="3" t="s">
        <v>18</v>
      </c>
      <c r="H22" s="5">
        <f t="shared" si="2"/>
        <v>2.3571428571428572</v>
      </c>
      <c r="K22" s="2">
        <f>K21</f>
        <v>3</v>
      </c>
      <c r="L22" s="3" t="s">
        <v>13</v>
      </c>
      <c r="M22" s="3" t="s">
        <v>80</v>
      </c>
      <c r="N22" s="3">
        <v>24</v>
      </c>
      <c r="O22" s="3">
        <v>42</v>
      </c>
      <c r="P22" s="3" t="s">
        <v>15</v>
      </c>
      <c r="Q22" s="5">
        <f t="shared" si="3"/>
        <v>0.5714285714285714</v>
      </c>
    </row>
    <row r="23" spans="1:17" ht="18.75" customHeight="1" x14ac:dyDescent="0.3">
      <c r="A23" s="2">
        <f>A22</f>
        <v>4</v>
      </c>
      <c r="B23" s="3" t="s">
        <v>211</v>
      </c>
      <c r="C23" s="3" t="s">
        <v>77</v>
      </c>
      <c r="D23" s="3">
        <v>66</v>
      </c>
      <c r="E23" s="3" t="s">
        <v>117</v>
      </c>
      <c r="F23" s="3">
        <v>42</v>
      </c>
      <c r="G23" s="3" t="s">
        <v>18</v>
      </c>
      <c r="H23" s="5">
        <f t="shared" si="2"/>
        <v>2.3571428571428572</v>
      </c>
      <c r="K23" s="2">
        <f>K22</f>
        <v>3</v>
      </c>
      <c r="L23" s="3" t="s">
        <v>13</v>
      </c>
      <c r="M23" s="3" t="s">
        <v>116</v>
      </c>
      <c r="N23" s="3">
        <v>24</v>
      </c>
      <c r="O23" s="3">
        <v>42</v>
      </c>
      <c r="P23" s="3" t="s">
        <v>109</v>
      </c>
      <c r="Q23" s="5">
        <f t="shared" si="3"/>
        <v>0.5714285714285714</v>
      </c>
    </row>
    <row r="24" spans="1:17" ht="18.75" customHeight="1" x14ac:dyDescent="0.3">
      <c r="A24" s="2">
        <f>A23+2</f>
        <v>6</v>
      </c>
      <c r="B24" s="3" t="s">
        <v>215</v>
      </c>
      <c r="C24" s="3" t="s">
        <v>116</v>
      </c>
      <c r="D24" s="3">
        <v>65</v>
      </c>
      <c r="E24" s="3" t="s">
        <v>117</v>
      </c>
      <c r="F24" s="3">
        <v>42</v>
      </c>
      <c r="G24" s="3" t="s">
        <v>18</v>
      </c>
      <c r="H24" s="5">
        <f t="shared" si="2"/>
        <v>2.3214285714285716</v>
      </c>
      <c r="K24" s="2">
        <f>K23+3</f>
        <v>6</v>
      </c>
      <c r="L24" s="3" t="s">
        <v>115</v>
      </c>
      <c r="M24" s="3" t="s">
        <v>80</v>
      </c>
      <c r="N24" s="3">
        <v>26</v>
      </c>
      <c r="O24" s="3">
        <v>42</v>
      </c>
      <c r="P24" s="3" t="s">
        <v>18</v>
      </c>
      <c r="Q24" s="5">
        <f t="shared" si="3"/>
        <v>0.61904761904761907</v>
      </c>
    </row>
    <row r="25" spans="1:17" ht="18.75" customHeight="1" x14ac:dyDescent="0.3">
      <c r="A25" s="2">
        <f>A24+1</f>
        <v>7</v>
      </c>
      <c r="B25" s="3" t="s">
        <v>206</v>
      </c>
      <c r="C25" s="3" t="s">
        <v>143</v>
      </c>
      <c r="D25" s="3">
        <v>64</v>
      </c>
      <c r="E25" s="3" t="s">
        <v>117</v>
      </c>
      <c r="F25" s="3">
        <v>42</v>
      </c>
      <c r="G25" s="3" t="s">
        <v>18</v>
      </c>
      <c r="H25" s="5">
        <f t="shared" si="2"/>
        <v>2.2857142857142856</v>
      </c>
      <c r="K25" s="2">
        <f>K24</f>
        <v>6</v>
      </c>
      <c r="L25" s="3" t="s">
        <v>206</v>
      </c>
      <c r="M25" s="3" t="s">
        <v>78</v>
      </c>
      <c r="N25" s="3">
        <v>26</v>
      </c>
      <c r="O25" s="3">
        <v>42</v>
      </c>
      <c r="P25" s="3" t="s">
        <v>15</v>
      </c>
      <c r="Q25" s="5">
        <f t="shared" si="3"/>
        <v>0.61904761904761907</v>
      </c>
    </row>
    <row r="26" spans="1:17" ht="18.75" customHeight="1" x14ac:dyDescent="0.3">
      <c r="A26" s="2">
        <f>A28</f>
        <v>7</v>
      </c>
      <c r="B26" s="3" t="s">
        <v>216</v>
      </c>
      <c r="C26" s="3" t="s">
        <v>150</v>
      </c>
      <c r="D26" s="3">
        <v>64</v>
      </c>
      <c r="E26" s="3" t="s">
        <v>117</v>
      </c>
      <c r="F26" s="3">
        <v>42</v>
      </c>
      <c r="G26" s="3" t="s">
        <v>18</v>
      </c>
      <c r="H26" s="5">
        <f t="shared" si="2"/>
        <v>2.2857142857142856</v>
      </c>
      <c r="K26" s="2">
        <f>K25+2</f>
        <v>8</v>
      </c>
      <c r="L26" s="3" t="s">
        <v>34</v>
      </c>
      <c r="M26" s="3" t="s">
        <v>80</v>
      </c>
      <c r="N26" s="3">
        <v>27</v>
      </c>
      <c r="O26" s="3">
        <v>42</v>
      </c>
      <c r="P26" s="3" t="s">
        <v>44</v>
      </c>
      <c r="Q26" s="5">
        <f t="shared" si="3"/>
        <v>0.6428571428571429</v>
      </c>
    </row>
    <row r="27" spans="1:17" ht="18.75" customHeight="1" x14ac:dyDescent="0.3">
      <c r="A27" s="2">
        <f>A26</f>
        <v>7</v>
      </c>
      <c r="B27" s="3" t="s">
        <v>33</v>
      </c>
      <c r="C27" s="3" t="s">
        <v>147</v>
      </c>
      <c r="D27" s="3">
        <v>64</v>
      </c>
      <c r="E27" s="3" t="s">
        <v>117</v>
      </c>
      <c r="F27" s="3">
        <v>42</v>
      </c>
      <c r="G27" s="3" t="s">
        <v>18</v>
      </c>
      <c r="H27" s="5">
        <f t="shared" si="2"/>
        <v>2.2857142857142856</v>
      </c>
      <c r="K27" s="2">
        <f>K26+1</f>
        <v>9</v>
      </c>
      <c r="L27" s="3" t="s">
        <v>13</v>
      </c>
      <c r="M27" s="3" t="s">
        <v>85</v>
      </c>
      <c r="N27" s="3">
        <v>28</v>
      </c>
      <c r="O27" s="3">
        <v>42</v>
      </c>
      <c r="P27" s="3" t="s">
        <v>15</v>
      </c>
      <c r="Q27" s="5">
        <f t="shared" si="3"/>
        <v>0.66666666666666663</v>
      </c>
    </row>
    <row r="28" spans="1:17" ht="18.75" customHeight="1" x14ac:dyDescent="0.3">
      <c r="A28" s="2">
        <f>A25</f>
        <v>7</v>
      </c>
      <c r="B28" s="3" t="s">
        <v>115</v>
      </c>
      <c r="C28" s="3" t="s">
        <v>116</v>
      </c>
      <c r="D28" s="3">
        <v>64</v>
      </c>
      <c r="E28" s="3" t="s">
        <v>117</v>
      </c>
      <c r="F28" s="3">
        <v>42</v>
      </c>
      <c r="G28" s="3" t="s">
        <v>15</v>
      </c>
      <c r="H28" s="5">
        <f t="shared" si="2"/>
        <v>2.2857142857142856</v>
      </c>
      <c r="K28" s="2">
        <f>K27+1</f>
        <v>10</v>
      </c>
      <c r="L28" s="3" t="s">
        <v>211</v>
      </c>
      <c r="M28" s="3" t="s">
        <v>82</v>
      </c>
      <c r="N28" s="3">
        <v>27</v>
      </c>
      <c r="O28" s="3">
        <v>40</v>
      </c>
      <c r="P28" s="3" t="s">
        <v>98</v>
      </c>
      <c r="Q28" s="5">
        <f t="shared" si="3"/>
        <v>0.67500000000000004</v>
      </c>
    </row>
  </sheetData>
  <mergeCells count="4">
    <mergeCell ref="A1:H1"/>
    <mergeCell ref="K1:Q1"/>
    <mergeCell ref="K17:Q17"/>
    <mergeCell ref="A17:H17"/>
  </mergeCells>
  <conditionalFormatting sqref="H3:H12"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8"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5:H28">
    <cfRule type="colorScale" priority="5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2"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8">
    <cfRule type="colorScale" priority="59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2"/>
  <sheetViews>
    <sheetView workbookViewId="0">
      <selection sqref="A1:H1"/>
    </sheetView>
  </sheetViews>
  <sheetFormatPr baseColWidth="10" defaultRowHeight="15" x14ac:dyDescent="0.25"/>
  <cols>
    <col min="2" max="2" width="23.7109375" customWidth="1"/>
    <col min="3" max="3" width="15.28515625" customWidth="1"/>
    <col min="4" max="4" width="13.5703125" customWidth="1"/>
    <col min="5" max="5" width="31.140625" customWidth="1"/>
    <col min="6" max="6" width="23.42578125" bestFit="1" customWidth="1"/>
    <col min="7" max="7" width="15.42578125" customWidth="1"/>
    <col min="8" max="8" width="34.5703125" customWidth="1"/>
    <col min="9" max="9" width="15.28515625" customWidth="1"/>
    <col min="10" max="10" width="16.5703125" customWidth="1"/>
    <col min="11" max="11" width="32.7109375" bestFit="1" customWidth="1"/>
    <col min="12" max="12" width="14.5703125" customWidth="1"/>
    <col min="13" max="13" width="19" bestFit="1" customWidth="1"/>
    <col min="14" max="14" width="23.42578125" bestFit="1" customWidth="1"/>
    <col min="15" max="15" width="13.85546875" bestFit="1" customWidth="1"/>
    <col min="16" max="16" width="34.7109375" customWidth="1"/>
  </cols>
  <sheetData>
    <row r="1" spans="1:16" ht="18.75" customHeight="1" x14ac:dyDescent="0.3">
      <c r="A1" s="21" t="s">
        <v>217</v>
      </c>
      <c r="B1" s="20"/>
      <c r="C1" s="20"/>
      <c r="D1" s="20"/>
      <c r="E1" s="20"/>
      <c r="F1" s="20"/>
      <c r="G1" s="20"/>
      <c r="H1" s="20"/>
      <c r="I1" s="6"/>
      <c r="J1" s="21" t="s">
        <v>218</v>
      </c>
      <c r="K1" s="20"/>
      <c r="L1" s="20"/>
      <c r="M1" s="20"/>
      <c r="N1" s="20"/>
      <c r="O1" s="20"/>
      <c r="P1" s="20"/>
    </row>
    <row r="2" spans="1:16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10</v>
      </c>
      <c r="I2" s="6"/>
      <c r="J2" s="2" t="s">
        <v>4</v>
      </c>
      <c r="K2" s="2" t="s">
        <v>5</v>
      </c>
      <c r="L2" s="2" t="s">
        <v>6</v>
      </c>
      <c r="M2" s="2" t="s">
        <v>11</v>
      </c>
      <c r="N2" s="2" t="s">
        <v>8</v>
      </c>
      <c r="O2" s="2" t="s">
        <v>9</v>
      </c>
      <c r="P2" s="2" t="s">
        <v>12</v>
      </c>
    </row>
    <row r="3" spans="1:16" ht="18.75" customHeight="1" x14ac:dyDescent="0.3">
      <c r="A3" s="2">
        <v>1</v>
      </c>
      <c r="B3" s="3" t="s">
        <v>13</v>
      </c>
      <c r="C3" s="3" t="s">
        <v>14</v>
      </c>
      <c r="D3" s="3">
        <v>97</v>
      </c>
      <c r="E3" s="3">
        <v>114</v>
      </c>
      <c r="F3" s="3">
        <v>38</v>
      </c>
      <c r="G3" s="3" t="s">
        <v>15</v>
      </c>
      <c r="H3" s="5">
        <f>D3/F3</f>
        <v>2.5526315789473686</v>
      </c>
      <c r="I3" s="6"/>
      <c r="J3" s="2">
        <v>1</v>
      </c>
      <c r="K3" s="3" t="s">
        <v>53</v>
      </c>
      <c r="L3" s="3" t="s">
        <v>29</v>
      </c>
      <c r="M3" s="3">
        <v>106</v>
      </c>
      <c r="N3" s="3">
        <v>38</v>
      </c>
      <c r="O3" s="3" t="s">
        <v>18</v>
      </c>
      <c r="P3" s="5">
        <f t="shared" ref="P3:P12" si="0">M3/N3</f>
        <v>2.7894736842105261</v>
      </c>
    </row>
    <row r="4" spans="1:16" ht="18.75" customHeight="1" x14ac:dyDescent="0.3">
      <c r="A4" s="2">
        <f>A3+1</f>
        <v>2</v>
      </c>
      <c r="B4" s="3" t="s">
        <v>13</v>
      </c>
      <c r="C4" s="3" t="s">
        <v>26</v>
      </c>
      <c r="D4" s="3">
        <v>92</v>
      </c>
      <c r="E4" s="3">
        <v>114</v>
      </c>
      <c r="F4" s="3">
        <v>38</v>
      </c>
      <c r="G4" s="3" t="s">
        <v>15</v>
      </c>
      <c r="H4" s="5">
        <f>D4/F4</f>
        <v>2.4210526315789473</v>
      </c>
      <c r="I4" s="6"/>
      <c r="J4" s="2">
        <f>J3+1</f>
        <v>2</v>
      </c>
      <c r="K4" s="3" t="s">
        <v>198</v>
      </c>
      <c r="L4" s="3" t="s">
        <v>72</v>
      </c>
      <c r="M4" s="3">
        <v>115</v>
      </c>
      <c r="N4" s="3">
        <v>42</v>
      </c>
      <c r="O4" s="3" t="s">
        <v>18</v>
      </c>
      <c r="P4" s="5">
        <f t="shared" si="0"/>
        <v>2.7380952380952381</v>
      </c>
    </row>
    <row r="5" spans="1:16" ht="18.75" customHeight="1" x14ac:dyDescent="0.3">
      <c r="A5" s="2">
        <f>A4+1</f>
        <v>3</v>
      </c>
      <c r="B5" s="3" t="s">
        <v>33</v>
      </c>
      <c r="C5" s="3" t="s">
        <v>21</v>
      </c>
      <c r="D5" s="3">
        <v>89</v>
      </c>
      <c r="E5" s="3">
        <v>114</v>
      </c>
      <c r="F5" s="3">
        <v>38</v>
      </c>
      <c r="G5" s="3" t="s">
        <v>15</v>
      </c>
      <c r="H5" s="5">
        <f>D5/F5</f>
        <v>2.3421052631578947</v>
      </c>
      <c r="I5" s="6"/>
      <c r="J5" s="2">
        <f>J4+1</f>
        <v>3</v>
      </c>
      <c r="K5" s="3" t="s">
        <v>48</v>
      </c>
      <c r="L5" s="3" t="s">
        <v>20</v>
      </c>
      <c r="M5" s="3">
        <v>103</v>
      </c>
      <c r="N5" s="3">
        <v>38</v>
      </c>
      <c r="O5" s="3" t="s">
        <v>18</v>
      </c>
      <c r="P5" s="5">
        <f t="shared" si="0"/>
        <v>2.7105263157894739</v>
      </c>
    </row>
    <row r="6" spans="1:16" ht="18.75" customHeight="1" x14ac:dyDescent="0.3">
      <c r="A6" s="2">
        <f>A5</f>
        <v>3</v>
      </c>
      <c r="B6" s="3" t="s">
        <v>34</v>
      </c>
      <c r="C6" s="3" t="s">
        <v>35</v>
      </c>
      <c r="D6" s="3">
        <v>89</v>
      </c>
      <c r="E6" s="3">
        <v>114</v>
      </c>
      <c r="F6" s="3">
        <v>38</v>
      </c>
      <c r="G6" s="3" t="s">
        <v>15</v>
      </c>
      <c r="H6" s="5">
        <f>D6/F6</f>
        <v>2.3421052631578947</v>
      </c>
      <c r="I6" s="6"/>
      <c r="J6" s="2">
        <f>J5+1</f>
        <v>4</v>
      </c>
      <c r="K6" s="3" t="s">
        <v>53</v>
      </c>
      <c r="L6" s="3" t="s">
        <v>40</v>
      </c>
      <c r="M6" s="3">
        <v>102</v>
      </c>
      <c r="N6" s="3">
        <v>38</v>
      </c>
      <c r="O6" s="3" t="s">
        <v>18</v>
      </c>
      <c r="P6" s="5">
        <f t="shared" si="0"/>
        <v>2.6842105263157894</v>
      </c>
    </row>
    <row r="7" spans="1:16" ht="18.75" customHeight="1" x14ac:dyDescent="0.3">
      <c r="A7" s="2">
        <f>A6+2</f>
        <v>5</v>
      </c>
      <c r="B7" s="3" t="s">
        <v>115</v>
      </c>
      <c r="C7" s="3" t="s">
        <v>116</v>
      </c>
      <c r="D7" s="3">
        <v>64</v>
      </c>
      <c r="E7" s="3" t="s">
        <v>117</v>
      </c>
      <c r="F7" s="3">
        <v>42</v>
      </c>
      <c r="G7" s="3" t="s">
        <v>15</v>
      </c>
      <c r="H7" s="5">
        <f>(D7/84)*3</f>
        <v>2.2857142857142856</v>
      </c>
      <c r="I7" s="6"/>
      <c r="J7" s="2">
        <f>J6</f>
        <v>4</v>
      </c>
      <c r="K7" s="3" t="s">
        <v>53</v>
      </c>
      <c r="L7" s="3" t="s">
        <v>31</v>
      </c>
      <c r="M7" s="3">
        <v>102</v>
      </c>
      <c r="N7" s="3">
        <v>38</v>
      </c>
      <c r="O7" s="3" t="s">
        <v>15</v>
      </c>
      <c r="P7" s="5">
        <f t="shared" si="0"/>
        <v>2.6842105263157894</v>
      </c>
    </row>
    <row r="8" spans="1:16" ht="18.75" customHeight="1" x14ac:dyDescent="0.3">
      <c r="A8" s="2">
        <f>A7+1</f>
        <v>6</v>
      </c>
      <c r="B8" s="3" t="s">
        <v>13</v>
      </c>
      <c r="C8" s="3" t="s">
        <v>197</v>
      </c>
      <c r="D8" s="3">
        <v>86</v>
      </c>
      <c r="E8" s="3">
        <v>114</v>
      </c>
      <c r="F8" s="3">
        <v>38</v>
      </c>
      <c r="G8" s="3" t="s">
        <v>15</v>
      </c>
      <c r="H8" s="5">
        <f t="shared" ref="H8:H13" si="1">D8/F8</f>
        <v>2.263157894736842</v>
      </c>
      <c r="I8" s="6"/>
      <c r="J8" s="2">
        <f>J7+2</f>
        <v>6</v>
      </c>
      <c r="K8" s="3" t="s">
        <v>13</v>
      </c>
      <c r="L8" s="3" t="s">
        <v>40</v>
      </c>
      <c r="M8" s="3">
        <v>101</v>
      </c>
      <c r="N8" s="3">
        <v>38</v>
      </c>
      <c r="O8" s="3" t="s">
        <v>15</v>
      </c>
      <c r="P8" s="5">
        <f t="shared" si="0"/>
        <v>2.6578947368421053</v>
      </c>
    </row>
    <row r="9" spans="1:16" ht="18.75" customHeight="1" x14ac:dyDescent="0.3">
      <c r="A9" s="2">
        <f>A8</f>
        <v>6</v>
      </c>
      <c r="B9" s="3" t="s">
        <v>198</v>
      </c>
      <c r="C9" s="3" t="s">
        <v>25</v>
      </c>
      <c r="D9" s="3">
        <v>86</v>
      </c>
      <c r="E9" s="3">
        <v>114</v>
      </c>
      <c r="F9" s="3">
        <v>38</v>
      </c>
      <c r="G9" s="3" t="s">
        <v>15</v>
      </c>
      <c r="H9" s="5">
        <f t="shared" si="1"/>
        <v>2.263157894736842</v>
      </c>
      <c r="I9" s="6"/>
      <c r="J9" s="2">
        <f>J8+1</f>
        <v>7</v>
      </c>
      <c r="K9" s="3" t="s">
        <v>198</v>
      </c>
      <c r="L9" s="3" t="s">
        <v>155</v>
      </c>
      <c r="M9" s="3">
        <v>111</v>
      </c>
      <c r="N9" s="3">
        <v>42</v>
      </c>
      <c r="O9" s="3" t="s">
        <v>15</v>
      </c>
      <c r="P9" s="5">
        <f t="shared" si="0"/>
        <v>2.6428571428571428</v>
      </c>
    </row>
    <row r="10" spans="1:16" ht="18.75" customHeight="1" x14ac:dyDescent="0.3">
      <c r="A10" s="2">
        <f>A9+2</f>
        <v>8</v>
      </c>
      <c r="B10" s="3" t="s">
        <v>33</v>
      </c>
      <c r="C10" s="3" t="s">
        <v>20</v>
      </c>
      <c r="D10" s="3">
        <v>85</v>
      </c>
      <c r="E10" s="3">
        <v>114</v>
      </c>
      <c r="F10" s="3">
        <v>38</v>
      </c>
      <c r="G10" s="3" t="s">
        <v>15</v>
      </c>
      <c r="H10" s="5">
        <f t="shared" si="1"/>
        <v>2.236842105263158</v>
      </c>
      <c r="I10" s="6"/>
      <c r="J10" s="2">
        <f>J9+1</f>
        <v>8</v>
      </c>
      <c r="K10" s="3" t="s">
        <v>205</v>
      </c>
      <c r="L10" s="3" t="s">
        <v>63</v>
      </c>
      <c r="M10" s="3">
        <v>110</v>
      </c>
      <c r="N10" s="3">
        <v>42</v>
      </c>
      <c r="O10" s="3" t="s">
        <v>18</v>
      </c>
      <c r="P10" s="5">
        <f t="shared" si="0"/>
        <v>2.6190476190476191</v>
      </c>
    </row>
    <row r="11" spans="1:16" ht="18.75" customHeight="1" x14ac:dyDescent="0.3">
      <c r="A11" s="2">
        <f>A10</f>
        <v>8</v>
      </c>
      <c r="B11" s="3" t="s">
        <v>48</v>
      </c>
      <c r="C11" s="3" t="s">
        <v>59</v>
      </c>
      <c r="D11" s="3">
        <v>85</v>
      </c>
      <c r="E11" s="3">
        <v>114</v>
      </c>
      <c r="F11" s="3">
        <v>38</v>
      </c>
      <c r="G11" s="3" t="s">
        <v>15</v>
      </c>
      <c r="H11" s="5">
        <f t="shared" si="1"/>
        <v>2.236842105263158</v>
      </c>
      <c r="I11" s="6"/>
      <c r="J11" s="2">
        <f>J10+1</f>
        <v>9</v>
      </c>
      <c r="K11" s="3" t="s">
        <v>53</v>
      </c>
      <c r="L11" s="3" t="s">
        <v>26</v>
      </c>
      <c r="M11" s="3">
        <v>99</v>
      </c>
      <c r="N11" s="3">
        <v>38</v>
      </c>
      <c r="O11" s="3" t="s">
        <v>18</v>
      </c>
      <c r="P11" s="5">
        <f t="shared" si="0"/>
        <v>2.6052631578947367</v>
      </c>
    </row>
    <row r="12" spans="1:16" ht="18.75" customHeight="1" x14ac:dyDescent="0.3">
      <c r="A12" s="2">
        <f>A11+2</f>
        <v>10</v>
      </c>
      <c r="B12" s="3" t="s">
        <v>13</v>
      </c>
      <c r="C12" s="3" t="s">
        <v>40</v>
      </c>
      <c r="D12" s="3">
        <v>84</v>
      </c>
      <c r="E12" s="3">
        <v>114</v>
      </c>
      <c r="F12" s="3">
        <v>38</v>
      </c>
      <c r="G12" s="3" t="s">
        <v>15</v>
      </c>
      <c r="H12" s="5">
        <f t="shared" si="1"/>
        <v>2.2105263157894739</v>
      </c>
      <c r="I12" s="6"/>
      <c r="J12" s="2">
        <f>J11+1</f>
        <v>10</v>
      </c>
      <c r="K12" s="3" t="s">
        <v>33</v>
      </c>
      <c r="L12" s="3" t="s">
        <v>133</v>
      </c>
      <c r="M12" s="3">
        <v>97</v>
      </c>
      <c r="N12" s="3">
        <v>38</v>
      </c>
      <c r="O12" s="3" t="s">
        <v>18</v>
      </c>
      <c r="P12" s="5">
        <f t="shared" si="0"/>
        <v>2.5526315789473686</v>
      </c>
    </row>
    <row r="13" spans="1:16" ht="18.75" customHeight="1" x14ac:dyDescent="0.3">
      <c r="A13" s="2">
        <f>A12</f>
        <v>10</v>
      </c>
      <c r="B13" s="3" t="s">
        <v>34</v>
      </c>
      <c r="C13" s="3" t="s">
        <v>54</v>
      </c>
      <c r="D13" s="3">
        <v>84</v>
      </c>
      <c r="E13" s="3">
        <v>114</v>
      </c>
      <c r="F13" s="3">
        <v>38</v>
      </c>
      <c r="G13" s="3" t="s">
        <v>15</v>
      </c>
      <c r="H13" s="5">
        <f t="shared" si="1"/>
        <v>2.2105263157894739</v>
      </c>
      <c r="I13" s="6"/>
      <c r="J13" s="6"/>
      <c r="K13" s="6"/>
      <c r="L13" s="6"/>
      <c r="M13" s="6"/>
      <c r="N13" s="6"/>
      <c r="O13" s="6"/>
      <c r="P13" s="6"/>
    </row>
    <row r="14" spans="1:16" ht="18.7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18.75" customHeight="1" x14ac:dyDescent="0.3">
      <c r="A15" s="21" t="s">
        <v>219</v>
      </c>
      <c r="B15" s="20"/>
      <c r="C15" s="20"/>
      <c r="D15" s="20"/>
      <c r="E15" s="20"/>
      <c r="F15" s="20"/>
      <c r="G15" s="20"/>
      <c r="H15" s="20"/>
      <c r="I15" s="6"/>
      <c r="J15" s="21" t="s">
        <v>213</v>
      </c>
      <c r="K15" s="20"/>
      <c r="L15" s="20"/>
      <c r="M15" s="20"/>
      <c r="N15" s="20"/>
      <c r="O15" s="20"/>
      <c r="P15" s="20"/>
    </row>
    <row r="16" spans="1:16" ht="18.75" customHeight="1" x14ac:dyDescent="0.3">
      <c r="A16" s="2" t="s">
        <v>4</v>
      </c>
      <c r="B16" s="2" t="s">
        <v>5</v>
      </c>
      <c r="C16" s="2" t="s">
        <v>6</v>
      </c>
      <c r="D16" s="2" t="s">
        <v>7</v>
      </c>
      <c r="E16" s="2" t="s">
        <v>62</v>
      </c>
      <c r="F16" s="2" t="s">
        <v>8</v>
      </c>
      <c r="G16" s="2" t="s">
        <v>9</v>
      </c>
      <c r="H16" s="2" t="s">
        <v>10</v>
      </c>
      <c r="I16" s="6"/>
      <c r="J16" s="2" t="s">
        <v>4</v>
      </c>
      <c r="K16" s="2" t="s">
        <v>5</v>
      </c>
      <c r="L16" s="2" t="s">
        <v>6</v>
      </c>
      <c r="M16" s="2" t="s">
        <v>201</v>
      </c>
      <c r="N16" s="2" t="s">
        <v>8</v>
      </c>
      <c r="O16" s="2" t="s">
        <v>9</v>
      </c>
      <c r="P16" s="2" t="s">
        <v>202</v>
      </c>
    </row>
    <row r="17" spans="1:16" ht="18.75" customHeight="1" x14ac:dyDescent="0.3">
      <c r="A17" s="2">
        <v>1</v>
      </c>
      <c r="B17" s="3" t="s">
        <v>53</v>
      </c>
      <c r="C17" s="3" t="s">
        <v>29</v>
      </c>
      <c r="D17" s="3">
        <v>100</v>
      </c>
      <c r="E17" s="3">
        <v>114</v>
      </c>
      <c r="F17" s="3">
        <v>38</v>
      </c>
      <c r="G17" s="3" t="s">
        <v>18</v>
      </c>
      <c r="H17" s="5">
        <f t="shared" ref="H17:H23" si="2">D17/F17</f>
        <v>2.6315789473684212</v>
      </c>
      <c r="I17" s="6"/>
      <c r="J17" s="2">
        <v>1</v>
      </c>
      <c r="K17" s="3" t="s">
        <v>13</v>
      </c>
      <c r="L17" s="3" t="s">
        <v>78</v>
      </c>
      <c r="M17" s="3">
        <v>16</v>
      </c>
      <c r="N17" s="3">
        <v>42</v>
      </c>
      <c r="O17" s="3" t="s">
        <v>18</v>
      </c>
      <c r="P17" s="5">
        <f t="shared" ref="P17:P26" si="3">M17/N17</f>
        <v>0.38095238095238093</v>
      </c>
    </row>
    <row r="18" spans="1:16" ht="18.75" customHeight="1" x14ac:dyDescent="0.3">
      <c r="A18" s="2">
        <f>A17+1</f>
        <v>2</v>
      </c>
      <c r="B18" s="3" t="s">
        <v>13</v>
      </c>
      <c r="C18" s="3" t="s">
        <v>31</v>
      </c>
      <c r="D18" s="3">
        <v>99</v>
      </c>
      <c r="E18" s="3">
        <v>114</v>
      </c>
      <c r="F18" s="3">
        <v>38</v>
      </c>
      <c r="G18" s="3" t="s">
        <v>18</v>
      </c>
      <c r="H18" s="5">
        <f t="shared" si="2"/>
        <v>2.6052631578947367</v>
      </c>
      <c r="I18" s="6"/>
      <c r="J18" s="2">
        <f>J17+1</f>
        <v>2</v>
      </c>
      <c r="K18" s="3" t="s">
        <v>48</v>
      </c>
      <c r="L18" s="3" t="s">
        <v>49</v>
      </c>
      <c r="M18" s="3">
        <v>15</v>
      </c>
      <c r="N18" s="3">
        <v>38</v>
      </c>
      <c r="O18" s="3" t="s">
        <v>18</v>
      </c>
      <c r="P18" s="5">
        <f t="shared" si="3"/>
        <v>0.39473684210526316</v>
      </c>
    </row>
    <row r="19" spans="1:16" ht="18.75" customHeight="1" x14ac:dyDescent="0.3">
      <c r="A19" s="2">
        <f>A18+1</f>
        <v>3</v>
      </c>
      <c r="B19" s="3" t="s">
        <v>53</v>
      </c>
      <c r="C19" s="3" t="s">
        <v>14</v>
      </c>
      <c r="D19" s="3">
        <v>98</v>
      </c>
      <c r="E19" s="3">
        <v>114</v>
      </c>
      <c r="F19" s="3">
        <v>38</v>
      </c>
      <c r="G19" s="3" t="s">
        <v>18</v>
      </c>
      <c r="H19" s="5">
        <f t="shared" si="2"/>
        <v>2.5789473684210527</v>
      </c>
      <c r="I19" s="6"/>
      <c r="J19" s="2">
        <f>J18+1</f>
        <v>3</v>
      </c>
      <c r="K19" s="3" t="s">
        <v>34</v>
      </c>
      <c r="L19" s="3" t="s">
        <v>50</v>
      </c>
      <c r="M19" s="3">
        <v>17</v>
      </c>
      <c r="N19" s="3">
        <v>38</v>
      </c>
      <c r="O19" s="3" t="s">
        <v>15</v>
      </c>
      <c r="P19" s="5">
        <f t="shared" si="3"/>
        <v>0.44736842105263158</v>
      </c>
    </row>
    <row r="20" spans="1:16" ht="18.75" customHeight="1" x14ac:dyDescent="0.3">
      <c r="A20" s="2">
        <f>A19+1</f>
        <v>4</v>
      </c>
      <c r="B20" s="3" t="s">
        <v>13</v>
      </c>
      <c r="C20" s="3" t="s">
        <v>14</v>
      </c>
      <c r="D20" s="3">
        <v>97</v>
      </c>
      <c r="E20" s="3">
        <v>114</v>
      </c>
      <c r="F20" s="3">
        <v>38</v>
      </c>
      <c r="G20" s="3" t="s">
        <v>15</v>
      </c>
      <c r="H20" s="5">
        <f t="shared" si="2"/>
        <v>2.5526315789473686</v>
      </c>
      <c r="I20" s="6"/>
      <c r="J20" s="2">
        <f>J19+1</f>
        <v>4</v>
      </c>
      <c r="K20" s="3" t="s">
        <v>34</v>
      </c>
      <c r="L20" s="3" t="s">
        <v>84</v>
      </c>
      <c r="M20" s="3">
        <v>18</v>
      </c>
      <c r="N20" s="3">
        <v>38</v>
      </c>
      <c r="O20" s="3" t="s">
        <v>18</v>
      </c>
      <c r="P20" s="5">
        <f t="shared" si="3"/>
        <v>0.47368421052631576</v>
      </c>
    </row>
    <row r="21" spans="1:16" ht="18.75" customHeight="1" x14ac:dyDescent="0.3">
      <c r="A21" s="2">
        <f>A20+1</f>
        <v>5</v>
      </c>
      <c r="B21" s="3" t="s">
        <v>48</v>
      </c>
      <c r="C21" s="3" t="s">
        <v>49</v>
      </c>
      <c r="D21" s="3">
        <v>95</v>
      </c>
      <c r="E21" s="3">
        <v>114</v>
      </c>
      <c r="F21" s="3">
        <v>38</v>
      </c>
      <c r="G21" s="3" t="s">
        <v>18</v>
      </c>
      <c r="H21" s="5">
        <f t="shared" si="2"/>
        <v>2.5</v>
      </c>
      <c r="I21" s="6"/>
      <c r="J21" s="2">
        <f>J20+1</f>
        <v>5</v>
      </c>
      <c r="K21" s="3" t="s">
        <v>206</v>
      </c>
      <c r="L21" s="3" t="s">
        <v>143</v>
      </c>
      <c r="M21" s="3">
        <v>24</v>
      </c>
      <c r="N21" s="3">
        <v>42</v>
      </c>
      <c r="O21" s="3" t="s">
        <v>18</v>
      </c>
      <c r="P21" s="5">
        <f t="shared" si="3"/>
        <v>0.5714285714285714</v>
      </c>
    </row>
    <row r="22" spans="1:16" ht="18.75" customHeight="1" x14ac:dyDescent="0.3">
      <c r="A22" s="2">
        <f>A21+1</f>
        <v>6</v>
      </c>
      <c r="B22" s="3" t="s">
        <v>53</v>
      </c>
      <c r="C22" s="3" t="s">
        <v>26</v>
      </c>
      <c r="D22" s="3">
        <v>93</v>
      </c>
      <c r="E22" s="3">
        <v>114</v>
      </c>
      <c r="F22" s="3">
        <v>38</v>
      </c>
      <c r="G22" s="3" t="s">
        <v>18</v>
      </c>
      <c r="H22" s="5">
        <f t="shared" si="2"/>
        <v>2.4473684210526314</v>
      </c>
      <c r="I22" s="6"/>
      <c r="J22" s="2">
        <f>J23</f>
        <v>5</v>
      </c>
      <c r="K22" s="3" t="s">
        <v>13</v>
      </c>
      <c r="L22" s="3" t="s">
        <v>80</v>
      </c>
      <c r="M22" s="3">
        <v>24</v>
      </c>
      <c r="N22" s="3">
        <v>42</v>
      </c>
      <c r="O22" s="3" t="s">
        <v>15</v>
      </c>
      <c r="P22" s="5">
        <f t="shared" si="3"/>
        <v>0.5714285714285714</v>
      </c>
    </row>
    <row r="23" spans="1:16" ht="18.75" customHeight="1" x14ac:dyDescent="0.3">
      <c r="A23" s="2">
        <f>A22</f>
        <v>6</v>
      </c>
      <c r="B23" s="3" t="s">
        <v>48</v>
      </c>
      <c r="C23" s="3" t="s">
        <v>25</v>
      </c>
      <c r="D23" s="3">
        <v>93</v>
      </c>
      <c r="E23" s="3">
        <v>114</v>
      </c>
      <c r="F23" s="3">
        <v>38</v>
      </c>
      <c r="G23" s="3" t="s">
        <v>18</v>
      </c>
      <c r="H23" s="5">
        <f t="shared" si="2"/>
        <v>2.4473684210526314</v>
      </c>
      <c r="I23" s="6"/>
      <c r="J23" s="2">
        <f>J21</f>
        <v>5</v>
      </c>
      <c r="K23" s="3" t="s">
        <v>13</v>
      </c>
      <c r="L23" s="3" t="s">
        <v>116</v>
      </c>
      <c r="M23" s="3">
        <v>24</v>
      </c>
      <c r="N23" s="3">
        <v>42</v>
      </c>
      <c r="O23" s="3" t="s">
        <v>109</v>
      </c>
      <c r="P23" s="5">
        <f t="shared" si="3"/>
        <v>0.5714285714285714</v>
      </c>
    </row>
    <row r="24" spans="1:16" ht="18.75" customHeight="1" x14ac:dyDescent="0.3">
      <c r="A24" s="2">
        <f>A23+2</f>
        <v>8</v>
      </c>
      <c r="B24" s="3" t="s">
        <v>13</v>
      </c>
      <c r="C24" s="3" t="s">
        <v>78</v>
      </c>
      <c r="D24" s="3">
        <v>68</v>
      </c>
      <c r="E24" s="3" t="s">
        <v>117</v>
      </c>
      <c r="F24" s="3">
        <v>42</v>
      </c>
      <c r="G24" s="3" t="s">
        <v>18</v>
      </c>
      <c r="H24" s="5">
        <f>(D24/84)*3</f>
        <v>2.4285714285714288</v>
      </c>
      <c r="I24" s="6"/>
      <c r="J24" s="2">
        <f>J23+3</f>
        <v>8</v>
      </c>
      <c r="K24" s="3" t="s">
        <v>33</v>
      </c>
      <c r="L24" s="3" t="s">
        <v>59</v>
      </c>
      <c r="M24" s="3">
        <v>22</v>
      </c>
      <c r="N24" s="3">
        <v>38</v>
      </c>
      <c r="O24" s="3" t="s">
        <v>18</v>
      </c>
      <c r="P24" s="5">
        <f t="shared" si="3"/>
        <v>0.57894736842105265</v>
      </c>
    </row>
    <row r="25" spans="1:16" ht="18.75" customHeight="1" x14ac:dyDescent="0.3">
      <c r="A25" s="2">
        <f>A24+1</f>
        <v>9</v>
      </c>
      <c r="B25" s="3" t="s">
        <v>13</v>
      </c>
      <c r="C25" s="3" t="s">
        <v>26</v>
      </c>
      <c r="D25" s="3">
        <v>92</v>
      </c>
      <c r="E25" s="3">
        <v>114</v>
      </c>
      <c r="F25" s="3">
        <v>38</v>
      </c>
      <c r="G25" s="3" t="s">
        <v>15</v>
      </c>
      <c r="H25" s="5">
        <f>D25/F25</f>
        <v>2.4210526315789473</v>
      </c>
      <c r="I25" s="6"/>
      <c r="J25" s="2">
        <f>J24</f>
        <v>8</v>
      </c>
      <c r="K25" s="3" t="s">
        <v>48</v>
      </c>
      <c r="L25" s="3" t="s">
        <v>37</v>
      </c>
      <c r="M25" s="3">
        <v>22</v>
      </c>
      <c r="N25" s="3">
        <v>38</v>
      </c>
      <c r="O25" s="3" t="s">
        <v>18</v>
      </c>
      <c r="P25" s="5">
        <f t="shared" si="3"/>
        <v>0.57894736842105265</v>
      </c>
    </row>
    <row r="26" spans="1:16" ht="18.75" customHeight="1" x14ac:dyDescent="0.3">
      <c r="A26" s="2">
        <f>A25+1</f>
        <v>10</v>
      </c>
      <c r="B26" s="3" t="s">
        <v>33</v>
      </c>
      <c r="C26" s="3" t="s">
        <v>133</v>
      </c>
      <c r="D26" s="3">
        <v>91</v>
      </c>
      <c r="E26" s="3">
        <v>114</v>
      </c>
      <c r="F26" s="3">
        <v>38</v>
      </c>
      <c r="G26" s="3" t="s">
        <v>18</v>
      </c>
      <c r="H26" s="5">
        <f>D26/F26</f>
        <v>2.3947368421052633</v>
      </c>
      <c r="I26" s="6"/>
      <c r="J26" s="2">
        <f>J25</f>
        <v>8</v>
      </c>
      <c r="K26" s="3" t="s">
        <v>13</v>
      </c>
      <c r="L26" s="3" t="s">
        <v>14</v>
      </c>
      <c r="M26" s="3">
        <v>22</v>
      </c>
      <c r="N26" s="3">
        <v>38</v>
      </c>
      <c r="O26" s="3" t="s">
        <v>15</v>
      </c>
      <c r="P26" s="5">
        <f t="shared" si="3"/>
        <v>0.57894736842105265</v>
      </c>
    </row>
    <row r="27" spans="1:16" ht="18.75" customHeight="1" x14ac:dyDescent="0.3">
      <c r="A27" s="2">
        <f>A26</f>
        <v>10</v>
      </c>
      <c r="B27" s="3" t="s">
        <v>53</v>
      </c>
      <c r="C27" s="3" t="s">
        <v>35</v>
      </c>
      <c r="D27" s="3">
        <v>91</v>
      </c>
      <c r="E27" s="3">
        <v>114</v>
      </c>
      <c r="F27" s="3">
        <v>38</v>
      </c>
      <c r="G27" s="3" t="s">
        <v>18</v>
      </c>
      <c r="H27" s="5">
        <f>D27/F27</f>
        <v>2.3947368421052633</v>
      </c>
      <c r="I27" s="6"/>
      <c r="J27" s="6"/>
      <c r="K27" s="6"/>
      <c r="L27" s="6"/>
      <c r="M27" s="6"/>
      <c r="N27" s="6"/>
      <c r="O27" s="6"/>
      <c r="P27" s="6"/>
    </row>
    <row r="28" spans="1:16" ht="18.75" customHeight="1" x14ac:dyDescent="0.3">
      <c r="A28" s="2">
        <f>A26</f>
        <v>10</v>
      </c>
      <c r="B28" s="3" t="s">
        <v>48</v>
      </c>
      <c r="C28" s="3" t="s">
        <v>37</v>
      </c>
      <c r="D28" s="3">
        <v>91</v>
      </c>
      <c r="E28" s="3">
        <v>114</v>
      </c>
      <c r="F28" s="3">
        <v>38</v>
      </c>
      <c r="G28" s="3" t="s">
        <v>18</v>
      </c>
      <c r="H28" s="5">
        <f>D28/F28</f>
        <v>2.3947368421052633</v>
      </c>
      <c r="I28" s="6"/>
      <c r="J28" s="6"/>
      <c r="K28" s="6"/>
      <c r="L28" s="6"/>
      <c r="M28" s="6"/>
      <c r="N28" s="6"/>
      <c r="O28" s="6"/>
      <c r="P28" s="6"/>
    </row>
    <row r="29" spans="1:16" ht="18.75" customHeight="1" x14ac:dyDescent="0.3">
      <c r="A29" s="2">
        <f>A28</f>
        <v>10</v>
      </c>
      <c r="B29" s="3" t="s">
        <v>214</v>
      </c>
      <c r="C29" s="3" t="s">
        <v>80</v>
      </c>
      <c r="D29" s="3">
        <v>67</v>
      </c>
      <c r="E29" s="3" t="s">
        <v>117</v>
      </c>
      <c r="F29" s="3">
        <v>42</v>
      </c>
      <c r="G29" s="3" t="s">
        <v>18</v>
      </c>
      <c r="H29" s="5">
        <f>(D29/84)*3</f>
        <v>2.3928571428571432</v>
      </c>
      <c r="I29" s="6"/>
      <c r="J29" s="6"/>
      <c r="K29" s="6"/>
      <c r="L29" s="6"/>
      <c r="M29" s="6"/>
      <c r="N29" s="6"/>
      <c r="O29" s="6"/>
      <c r="P29" s="6"/>
    </row>
    <row r="30" spans="1:16" ht="18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8.75" customHeight="1" x14ac:dyDescent="0.3">
      <c r="I31" s="6"/>
      <c r="J31" s="6"/>
      <c r="K31" s="6"/>
      <c r="L31" s="6"/>
      <c r="M31" s="6"/>
      <c r="N31" s="6"/>
      <c r="O31" s="6"/>
      <c r="P31" s="6"/>
    </row>
    <row r="32" spans="1:16" ht="18.75" customHeight="1" x14ac:dyDescent="0.3">
      <c r="I32" s="6"/>
      <c r="J32" s="6"/>
      <c r="K32" s="6"/>
      <c r="L32" s="6"/>
      <c r="M32" s="6"/>
      <c r="N32" s="6"/>
      <c r="O32" s="6"/>
      <c r="P32" s="6"/>
    </row>
  </sheetData>
  <mergeCells count="4">
    <mergeCell ref="J1:P1"/>
    <mergeCell ref="A1:H1"/>
    <mergeCell ref="J15:P15"/>
    <mergeCell ref="A15:H15"/>
  </mergeCells>
  <conditionalFormatting sqref="H3:H13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7:H29"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12"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7:P26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9"/>
  <sheetViews>
    <sheetView workbookViewId="0">
      <selection activeCell="A21" sqref="A21:H21"/>
    </sheetView>
  </sheetViews>
  <sheetFormatPr baseColWidth="10" defaultRowHeight="15" x14ac:dyDescent="0.25"/>
  <cols>
    <col min="2" max="2" width="23.140625" bestFit="1" customWidth="1"/>
    <col min="3" max="3" width="15.28515625" customWidth="1"/>
    <col min="4" max="4" width="14" bestFit="1" customWidth="1"/>
    <col min="5" max="5" width="30.7109375" bestFit="1" customWidth="1"/>
    <col min="6" max="6" width="23.42578125" bestFit="1" customWidth="1"/>
    <col min="7" max="7" width="13.85546875" bestFit="1" customWidth="1"/>
    <col min="8" max="8" width="32.140625" customWidth="1"/>
    <col min="11" max="11" width="25.28515625" customWidth="1"/>
    <col min="12" max="12" width="15.85546875" customWidth="1"/>
    <col min="13" max="13" width="19" bestFit="1" customWidth="1"/>
    <col min="14" max="14" width="23.42578125" bestFit="1" customWidth="1"/>
    <col min="15" max="15" width="13.85546875" bestFit="1" customWidth="1"/>
    <col min="16" max="16" width="32.140625" bestFit="1" customWidth="1"/>
  </cols>
  <sheetData>
    <row r="1" spans="1:16" ht="18.75" customHeight="1" x14ac:dyDescent="0.3">
      <c r="A1" s="21" t="s">
        <v>220</v>
      </c>
      <c r="B1" s="20"/>
      <c r="C1" s="20"/>
      <c r="D1" s="20"/>
      <c r="E1" s="20"/>
      <c r="F1" s="20"/>
      <c r="G1" s="20"/>
      <c r="H1" s="20"/>
      <c r="J1" s="21" t="s">
        <v>221</v>
      </c>
      <c r="K1" s="20"/>
      <c r="L1" s="20"/>
      <c r="M1" s="20"/>
      <c r="N1" s="20"/>
      <c r="O1" s="20"/>
      <c r="P1" s="20"/>
    </row>
    <row r="2" spans="1:16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10</v>
      </c>
      <c r="J2" s="2" t="s">
        <v>4</v>
      </c>
      <c r="K2" s="2" t="s">
        <v>5</v>
      </c>
      <c r="L2" s="2" t="s">
        <v>6</v>
      </c>
      <c r="M2" s="2" t="s">
        <v>11</v>
      </c>
      <c r="N2" s="2" t="s">
        <v>8</v>
      </c>
      <c r="O2" s="2" t="s">
        <v>9</v>
      </c>
      <c r="P2" s="2" t="s">
        <v>12</v>
      </c>
    </row>
    <row r="3" spans="1:16" ht="18.75" customHeight="1" x14ac:dyDescent="0.3">
      <c r="A3" s="2">
        <v>1</v>
      </c>
      <c r="B3" s="3" t="s">
        <v>13</v>
      </c>
      <c r="C3" s="3" t="s">
        <v>14</v>
      </c>
      <c r="D3" s="3">
        <v>97</v>
      </c>
      <c r="E3" s="3">
        <v>114</v>
      </c>
      <c r="F3" s="3">
        <v>38</v>
      </c>
      <c r="G3" s="3" t="s">
        <v>15</v>
      </c>
      <c r="H3" s="5">
        <f>D3/F3</f>
        <v>2.5526315789473686</v>
      </c>
      <c r="J3" s="2">
        <v>1</v>
      </c>
      <c r="K3" s="3" t="s">
        <v>91</v>
      </c>
      <c r="L3" s="3" t="s">
        <v>92</v>
      </c>
      <c r="M3" s="3">
        <v>93</v>
      </c>
      <c r="N3" s="3">
        <v>26</v>
      </c>
      <c r="O3" s="3" t="s">
        <v>18</v>
      </c>
      <c r="P3" s="5">
        <f t="shared" ref="P3:P18" si="0">M3/N3</f>
        <v>3.5769230769230771</v>
      </c>
    </row>
    <row r="4" spans="1:16" ht="18.75" customHeight="1" x14ac:dyDescent="0.3">
      <c r="A4" s="2">
        <f>A3+1</f>
        <v>2</v>
      </c>
      <c r="B4" s="3" t="s">
        <v>13</v>
      </c>
      <c r="C4" s="3" t="s">
        <v>26</v>
      </c>
      <c r="D4" s="3">
        <v>92</v>
      </c>
      <c r="E4" s="3">
        <v>114</v>
      </c>
      <c r="F4" s="3">
        <v>38</v>
      </c>
      <c r="G4" s="3" t="s">
        <v>15</v>
      </c>
      <c r="H4" s="5">
        <f>D4/F4</f>
        <v>2.4210526315789473</v>
      </c>
      <c r="J4" s="2">
        <f t="shared" ref="J4:J10" si="1">J3+1</f>
        <v>2</v>
      </c>
      <c r="K4" s="3" t="s">
        <v>93</v>
      </c>
      <c r="L4" s="3" t="s">
        <v>94</v>
      </c>
      <c r="M4" s="3">
        <v>78</v>
      </c>
      <c r="N4" s="3">
        <v>22</v>
      </c>
      <c r="O4" s="3" t="s">
        <v>44</v>
      </c>
      <c r="P4" s="5">
        <f t="shared" si="0"/>
        <v>3.5454545454545454</v>
      </c>
    </row>
    <row r="5" spans="1:16" ht="18.75" customHeight="1" x14ac:dyDescent="0.3">
      <c r="A5" s="2">
        <f>A4+1</f>
        <v>3</v>
      </c>
      <c r="B5" s="3" t="s">
        <v>33</v>
      </c>
      <c r="C5" s="3" t="s">
        <v>21</v>
      </c>
      <c r="D5" s="3">
        <v>89</v>
      </c>
      <c r="E5" s="3">
        <v>114</v>
      </c>
      <c r="F5" s="3">
        <v>38</v>
      </c>
      <c r="G5" s="3" t="s">
        <v>15</v>
      </c>
      <c r="H5" s="5">
        <f>D5/F5</f>
        <v>2.3421052631578947</v>
      </c>
      <c r="J5" s="2">
        <f t="shared" si="1"/>
        <v>3</v>
      </c>
      <c r="K5" s="3" t="s">
        <v>97</v>
      </c>
      <c r="L5" s="3" t="s">
        <v>92</v>
      </c>
      <c r="M5" s="3">
        <v>89</v>
      </c>
      <c r="N5" s="3">
        <v>26</v>
      </c>
      <c r="O5" s="3" t="s">
        <v>98</v>
      </c>
      <c r="P5" s="5">
        <f t="shared" si="0"/>
        <v>3.4230769230769229</v>
      </c>
    </row>
    <row r="6" spans="1:16" ht="18.75" customHeight="1" x14ac:dyDescent="0.3">
      <c r="A6" s="2">
        <f>A5</f>
        <v>3</v>
      </c>
      <c r="B6" s="3" t="s">
        <v>34</v>
      </c>
      <c r="C6" s="3" t="s">
        <v>35</v>
      </c>
      <c r="D6" s="3">
        <v>89</v>
      </c>
      <c r="E6" s="3">
        <v>114</v>
      </c>
      <c r="F6" s="3">
        <v>38</v>
      </c>
      <c r="G6" s="3" t="s">
        <v>15</v>
      </c>
      <c r="H6" s="5">
        <f>D6/F6</f>
        <v>2.3421052631578947</v>
      </c>
      <c r="J6" s="2">
        <f t="shared" si="1"/>
        <v>4</v>
      </c>
      <c r="K6" s="3" t="s">
        <v>100</v>
      </c>
      <c r="L6" s="3" t="s">
        <v>101</v>
      </c>
      <c r="M6" s="3">
        <v>74</v>
      </c>
      <c r="N6" s="3">
        <v>22</v>
      </c>
      <c r="O6" s="3" t="s">
        <v>18</v>
      </c>
      <c r="P6" s="5">
        <f t="shared" si="0"/>
        <v>3.3636363636363638</v>
      </c>
    </row>
    <row r="7" spans="1:16" ht="18.75" customHeight="1" x14ac:dyDescent="0.3">
      <c r="A7" s="2">
        <f>A6+2</f>
        <v>5</v>
      </c>
      <c r="B7" s="3" t="s">
        <v>115</v>
      </c>
      <c r="C7" s="3" t="s">
        <v>116</v>
      </c>
      <c r="D7" s="3">
        <v>64</v>
      </c>
      <c r="E7" s="3" t="s">
        <v>117</v>
      </c>
      <c r="F7" s="3">
        <v>42</v>
      </c>
      <c r="G7" s="3" t="s">
        <v>15</v>
      </c>
      <c r="H7" s="5">
        <f>(D7/84)*3</f>
        <v>2.2857142857142856</v>
      </c>
      <c r="J7" s="2">
        <f t="shared" si="1"/>
        <v>5</v>
      </c>
      <c r="K7" s="3" t="s">
        <v>91</v>
      </c>
      <c r="L7" s="3" t="s">
        <v>102</v>
      </c>
      <c r="M7" s="3">
        <v>100</v>
      </c>
      <c r="N7" s="3">
        <v>30</v>
      </c>
      <c r="O7" s="3" t="s">
        <v>18</v>
      </c>
      <c r="P7" s="5">
        <f t="shared" si="0"/>
        <v>3.3333333333333335</v>
      </c>
    </row>
    <row r="8" spans="1:16" ht="18.75" customHeight="1" x14ac:dyDescent="0.3">
      <c r="A8" s="2">
        <f>A7+1</f>
        <v>6</v>
      </c>
      <c r="B8" s="3" t="s">
        <v>13</v>
      </c>
      <c r="C8" s="3" t="s">
        <v>197</v>
      </c>
      <c r="D8" s="3">
        <v>86</v>
      </c>
      <c r="E8" s="3">
        <v>114</v>
      </c>
      <c r="F8" s="3">
        <v>38</v>
      </c>
      <c r="G8" s="3" t="s">
        <v>15</v>
      </c>
      <c r="H8" s="5">
        <f t="shared" ref="H8:H18" si="2">D8/F8</f>
        <v>2.263157894736842</v>
      </c>
      <c r="J8" s="2">
        <f t="shared" si="1"/>
        <v>6</v>
      </c>
      <c r="K8" s="3" t="s">
        <v>100</v>
      </c>
      <c r="L8" s="3" t="s">
        <v>94</v>
      </c>
      <c r="M8" s="3">
        <v>71</v>
      </c>
      <c r="N8" s="3">
        <v>22</v>
      </c>
      <c r="O8" s="3" t="s">
        <v>18</v>
      </c>
      <c r="P8" s="5">
        <f t="shared" si="0"/>
        <v>3.2272727272727271</v>
      </c>
    </row>
    <row r="9" spans="1:16" ht="18.75" customHeight="1" x14ac:dyDescent="0.3">
      <c r="A9" s="2">
        <f>A8</f>
        <v>6</v>
      </c>
      <c r="B9" s="3" t="s">
        <v>198</v>
      </c>
      <c r="C9" s="3" t="s">
        <v>25</v>
      </c>
      <c r="D9" s="3">
        <v>86</v>
      </c>
      <c r="E9" s="3">
        <v>114</v>
      </c>
      <c r="F9" s="3">
        <v>38</v>
      </c>
      <c r="G9" s="3" t="s">
        <v>15</v>
      </c>
      <c r="H9" s="5">
        <f t="shared" si="2"/>
        <v>2.263157894736842</v>
      </c>
      <c r="J9" s="2">
        <f t="shared" si="1"/>
        <v>7</v>
      </c>
      <c r="K9" s="3" t="s">
        <v>97</v>
      </c>
      <c r="L9" s="3" t="s">
        <v>90</v>
      </c>
      <c r="M9" s="3">
        <v>128</v>
      </c>
      <c r="N9" s="3">
        <v>42</v>
      </c>
      <c r="O9" s="3" t="s">
        <v>15</v>
      </c>
      <c r="P9" s="5">
        <f t="shared" si="0"/>
        <v>3.0476190476190474</v>
      </c>
    </row>
    <row r="10" spans="1:16" ht="18.75" customHeight="1" x14ac:dyDescent="0.3">
      <c r="A10" s="2">
        <f>A9+2</f>
        <v>8</v>
      </c>
      <c r="B10" s="3" t="s">
        <v>33</v>
      </c>
      <c r="C10" s="3" t="s">
        <v>20</v>
      </c>
      <c r="D10" s="3">
        <v>85</v>
      </c>
      <c r="E10" s="3">
        <v>114</v>
      </c>
      <c r="F10" s="3">
        <v>38</v>
      </c>
      <c r="G10" s="3" t="s">
        <v>15</v>
      </c>
      <c r="H10" s="5">
        <f t="shared" si="2"/>
        <v>2.236842105263158</v>
      </c>
      <c r="J10" s="2">
        <f t="shared" si="1"/>
        <v>8</v>
      </c>
      <c r="K10" s="3" t="s">
        <v>34</v>
      </c>
      <c r="L10" s="3" t="s">
        <v>90</v>
      </c>
      <c r="M10" s="3">
        <v>127</v>
      </c>
      <c r="N10" s="3">
        <v>42</v>
      </c>
      <c r="O10" s="3" t="s">
        <v>18</v>
      </c>
      <c r="P10" s="5">
        <f t="shared" si="0"/>
        <v>3.0238095238095237</v>
      </c>
    </row>
    <row r="11" spans="1:16" ht="18.75" customHeight="1" x14ac:dyDescent="0.3">
      <c r="A11" s="2">
        <f>A10</f>
        <v>8</v>
      </c>
      <c r="B11" s="3" t="s">
        <v>48</v>
      </c>
      <c r="C11" s="3" t="s">
        <v>59</v>
      </c>
      <c r="D11" s="3">
        <v>85</v>
      </c>
      <c r="E11" s="3">
        <v>114</v>
      </c>
      <c r="F11" s="3">
        <v>38</v>
      </c>
      <c r="G11" s="3" t="s">
        <v>15</v>
      </c>
      <c r="H11" s="5">
        <f t="shared" si="2"/>
        <v>2.236842105263158</v>
      </c>
      <c r="J11" s="2">
        <f>J12</f>
        <v>9</v>
      </c>
      <c r="K11" s="3" t="s">
        <v>93</v>
      </c>
      <c r="L11" s="3" t="s">
        <v>101</v>
      </c>
      <c r="M11" s="3">
        <v>66</v>
      </c>
      <c r="N11" s="3">
        <v>22</v>
      </c>
      <c r="O11" s="3" t="s">
        <v>98</v>
      </c>
      <c r="P11" s="5">
        <f t="shared" si="0"/>
        <v>3</v>
      </c>
    </row>
    <row r="12" spans="1:16" ht="18.75" customHeight="1" x14ac:dyDescent="0.3">
      <c r="A12" s="2">
        <f>A11+2</f>
        <v>10</v>
      </c>
      <c r="B12" s="3" t="s">
        <v>13</v>
      </c>
      <c r="C12" s="3" t="s">
        <v>40</v>
      </c>
      <c r="D12" s="3">
        <v>84</v>
      </c>
      <c r="E12" s="3">
        <v>114</v>
      </c>
      <c r="F12" s="3">
        <v>38</v>
      </c>
      <c r="G12" s="3" t="s">
        <v>15</v>
      </c>
      <c r="H12" s="5">
        <f t="shared" si="2"/>
        <v>2.2105263157894739</v>
      </c>
      <c r="J12" s="2">
        <f>J10+1</f>
        <v>9</v>
      </c>
      <c r="K12" s="3" t="s">
        <v>211</v>
      </c>
      <c r="L12" s="3" t="s">
        <v>222</v>
      </c>
      <c r="M12" s="3">
        <v>90</v>
      </c>
      <c r="N12" s="3">
        <v>30</v>
      </c>
      <c r="O12" s="3" t="s">
        <v>124</v>
      </c>
      <c r="P12" s="5">
        <f t="shared" si="0"/>
        <v>3</v>
      </c>
    </row>
    <row r="13" spans="1:16" ht="18.75" customHeight="1" x14ac:dyDescent="0.3">
      <c r="A13" s="2">
        <f>A12</f>
        <v>10</v>
      </c>
      <c r="B13" s="3" t="s">
        <v>34</v>
      </c>
      <c r="C13" s="3" t="s">
        <v>54</v>
      </c>
      <c r="D13" s="3">
        <v>84</v>
      </c>
      <c r="E13" s="3">
        <v>114</v>
      </c>
      <c r="F13" s="3">
        <v>38</v>
      </c>
      <c r="G13" s="3" t="s">
        <v>15</v>
      </c>
      <c r="H13" s="5">
        <f t="shared" si="2"/>
        <v>2.2105263157894739</v>
      </c>
      <c r="J13" s="2">
        <f>J12+2</f>
        <v>11</v>
      </c>
      <c r="K13" s="3" t="s">
        <v>211</v>
      </c>
      <c r="L13" s="3" t="s">
        <v>94</v>
      </c>
      <c r="M13" s="3">
        <v>65</v>
      </c>
      <c r="N13" s="3">
        <v>22</v>
      </c>
      <c r="O13" s="3" t="s">
        <v>15</v>
      </c>
      <c r="P13" s="5">
        <f t="shared" si="0"/>
        <v>2.9545454545454546</v>
      </c>
    </row>
    <row r="14" spans="1:16" ht="18.75" customHeight="1" x14ac:dyDescent="0.3">
      <c r="A14" s="2">
        <f>A13+2</f>
        <v>12</v>
      </c>
      <c r="B14" s="3" t="s">
        <v>34</v>
      </c>
      <c r="C14" s="3" t="s">
        <v>49</v>
      </c>
      <c r="D14" s="3">
        <v>83</v>
      </c>
      <c r="E14" s="3">
        <v>114</v>
      </c>
      <c r="F14" s="3">
        <v>38</v>
      </c>
      <c r="G14" s="3" t="s">
        <v>15</v>
      </c>
      <c r="H14" s="5">
        <f t="shared" si="2"/>
        <v>2.1842105263157894</v>
      </c>
      <c r="J14" s="2">
        <f>J13+1</f>
        <v>12</v>
      </c>
      <c r="K14" s="3" t="s">
        <v>211</v>
      </c>
      <c r="L14" s="3" t="s">
        <v>223</v>
      </c>
      <c r="M14" s="3">
        <v>63</v>
      </c>
      <c r="N14" s="3">
        <v>22</v>
      </c>
      <c r="O14" s="3" t="s">
        <v>18</v>
      </c>
      <c r="P14" s="5">
        <f t="shared" si="0"/>
        <v>2.8636363636363638</v>
      </c>
    </row>
    <row r="15" spans="1:16" ht="18.75" customHeight="1" x14ac:dyDescent="0.3">
      <c r="A15" s="2">
        <f>A14</f>
        <v>12</v>
      </c>
      <c r="B15" s="3" t="s">
        <v>33</v>
      </c>
      <c r="C15" s="3" t="s">
        <v>37</v>
      </c>
      <c r="D15" s="3">
        <v>83</v>
      </c>
      <c r="E15" s="3">
        <v>114</v>
      </c>
      <c r="F15" s="3">
        <v>38</v>
      </c>
      <c r="G15" s="3" t="s">
        <v>15</v>
      </c>
      <c r="H15" s="5">
        <f t="shared" si="2"/>
        <v>2.1842105263157894</v>
      </c>
      <c r="J15" s="2">
        <f>J14</f>
        <v>12</v>
      </c>
      <c r="K15" s="3" t="s">
        <v>224</v>
      </c>
      <c r="L15" s="3" t="s">
        <v>101</v>
      </c>
      <c r="M15" s="3">
        <v>63</v>
      </c>
      <c r="N15" s="3">
        <v>22</v>
      </c>
      <c r="O15" s="3" t="s">
        <v>109</v>
      </c>
      <c r="P15" s="5">
        <f t="shared" si="0"/>
        <v>2.8636363636363638</v>
      </c>
    </row>
    <row r="16" spans="1:16" ht="18.75" customHeight="1" x14ac:dyDescent="0.3">
      <c r="A16" s="2">
        <f>A15</f>
        <v>12</v>
      </c>
      <c r="B16" s="3" t="s">
        <v>48</v>
      </c>
      <c r="C16" s="3" t="s">
        <v>56</v>
      </c>
      <c r="D16" s="3">
        <v>83</v>
      </c>
      <c r="E16" s="3">
        <v>114</v>
      </c>
      <c r="F16" s="3">
        <v>38</v>
      </c>
      <c r="G16" s="3" t="s">
        <v>15</v>
      </c>
      <c r="H16" s="5">
        <f t="shared" si="2"/>
        <v>2.1842105263157894</v>
      </c>
      <c r="J16" s="2">
        <f>J14+2</f>
        <v>14</v>
      </c>
      <c r="K16" s="3" t="s">
        <v>34</v>
      </c>
      <c r="L16" s="3" t="s">
        <v>96</v>
      </c>
      <c r="M16" s="3">
        <v>118</v>
      </c>
      <c r="N16" s="3">
        <v>42</v>
      </c>
      <c r="O16" s="3" t="s">
        <v>18</v>
      </c>
      <c r="P16" s="5">
        <f t="shared" si="0"/>
        <v>2.8095238095238093</v>
      </c>
    </row>
    <row r="17" spans="1:16" ht="18.75" customHeight="1" x14ac:dyDescent="0.3">
      <c r="A17" s="2">
        <f>A16</f>
        <v>12</v>
      </c>
      <c r="B17" s="3" t="s">
        <v>34</v>
      </c>
      <c r="C17" s="3" t="s">
        <v>59</v>
      </c>
      <c r="D17" s="3">
        <v>83</v>
      </c>
      <c r="E17" s="3">
        <v>114</v>
      </c>
      <c r="F17" s="3">
        <v>38</v>
      </c>
      <c r="G17" s="3" t="s">
        <v>44</v>
      </c>
      <c r="H17" s="5">
        <f t="shared" si="2"/>
        <v>2.1842105263157894</v>
      </c>
      <c r="J17" s="2">
        <f>J16+1</f>
        <v>15</v>
      </c>
      <c r="K17" s="3" t="s">
        <v>97</v>
      </c>
      <c r="L17" s="3" t="s">
        <v>222</v>
      </c>
      <c r="M17" s="3">
        <v>84</v>
      </c>
      <c r="N17" s="3">
        <v>30</v>
      </c>
      <c r="O17" s="3" t="s">
        <v>18</v>
      </c>
      <c r="P17" s="5">
        <f t="shared" si="0"/>
        <v>2.8</v>
      </c>
    </row>
    <row r="18" spans="1:16" ht="18.75" customHeight="1" x14ac:dyDescent="0.3">
      <c r="A18" s="2">
        <f>A17</f>
        <v>12</v>
      </c>
      <c r="B18" s="3" t="s">
        <v>48</v>
      </c>
      <c r="C18" s="3" t="s">
        <v>197</v>
      </c>
      <c r="D18" s="3">
        <v>83</v>
      </c>
      <c r="E18" s="3">
        <v>114</v>
      </c>
      <c r="F18" s="3">
        <v>38</v>
      </c>
      <c r="G18" s="3" t="s">
        <v>44</v>
      </c>
      <c r="H18" s="5">
        <f t="shared" si="2"/>
        <v>2.1842105263157894</v>
      </c>
      <c r="J18" s="2">
        <f>J17+1</f>
        <v>16</v>
      </c>
      <c r="K18" s="3" t="s">
        <v>53</v>
      </c>
      <c r="L18" s="3" t="s">
        <v>29</v>
      </c>
      <c r="M18" s="3">
        <v>106</v>
      </c>
      <c r="N18" s="3">
        <v>38</v>
      </c>
      <c r="O18" s="3" t="s">
        <v>18</v>
      </c>
      <c r="P18" s="5">
        <f t="shared" si="0"/>
        <v>2.7894736842105261</v>
      </c>
    </row>
    <row r="21" spans="1:16" ht="18.75" customHeight="1" x14ac:dyDescent="0.3">
      <c r="A21" s="21" t="s">
        <v>225</v>
      </c>
      <c r="B21" s="20"/>
      <c r="C21" s="20"/>
      <c r="D21" s="20"/>
      <c r="E21" s="20"/>
      <c r="F21" s="20"/>
      <c r="G21" s="20"/>
      <c r="H21" s="20"/>
      <c r="J21" s="21" t="s">
        <v>226</v>
      </c>
      <c r="K21" s="20"/>
      <c r="L21" s="20"/>
      <c r="M21" s="20"/>
      <c r="N21" s="20"/>
      <c r="O21" s="20"/>
      <c r="P21" s="20"/>
    </row>
    <row r="22" spans="1:16" ht="18.75" customHeight="1" x14ac:dyDescent="0.3">
      <c r="A22" s="2" t="s">
        <v>4</v>
      </c>
      <c r="B22" s="2" t="s">
        <v>5</v>
      </c>
      <c r="C22" s="2" t="s">
        <v>6</v>
      </c>
      <c r="D22" s="2" t="s">
        <v>7</v>
      </c>
      <c r="E22" s="2" t="s">
        <v>62</v>
      </c>
      <c r="F22" s="2" t="s">
        <v>8</v>
      </c>
      <c r="G22" s="2" t="s">
        <v>9</v>
      </c>
      <c r="H22" s="2" t="s">
        <v>366</v>
      </c>
      <c r="J22" s="2" t="s">
        <v>4</v>
      </c>
      <c r="K22" s="2" t="s">
        <v>5</v>
      </c>
      <c r="L22" s="2" t="s">
        <v>6</v>
      </c>
      <c r="M22" s="2" t="s">
        <v>201</v>
      </c>
      <c r="N22" s="2" t="s">
        <v>8</v>
      </c>
      <c r="O22" s="2" t="s">
        <v>9</v>
      </c>
      <c r="P22" s="2" t="s">
        <v>202</v>
      </c>
    </row>
    <row r="23" spans="1:16" ht="18.75" customHeight="1" x14ac:dyDescent="0.3">
      <c r="A23" s="2">
        <v>1</v>
      </c>
      <c r="B23" s="3" t="s">
        <v>100</v>
      </c>
      <c r="C23" s="3" t="s">
        <v>101</v>
      </c>
      <c r="D23" s="3">
        <v>40</v>
      </c>
      <c r="E23" s="3" t="s">
        <v>120</v>
      </c>
      <c r="F23" s="3">
        <v>22</v>
      </c>
      <c r="G23" s="3" t="s">
        <v>18</v>
      </c>
      <c r="H23" s="5">
        <f>(D23/44)*3</f>
        <v>2.7272727272727271</v>
      </c>
      <c r="J23" s="2">
        <v>1</v>
      </c>
      <c r="K23" s="3" t="s">
        <v>13</v>
      </c>
      <c r="L23" s="3" t="s">
        <v>78</v>
      </c>
      <c r="M23" s="3">
        <v>16</v>
      </c>
      <c r="N23" s="3">
        <v>42</v>
      </c>
      <c r="O23" s="3" t="s">
        <v>18</v>
      </c>
      <c r="P23" s="5">
        <f t="shared" ref="P23:P39" si="3">M23/N23</f>
        <v>0.38095238095238093</v>
      </c>
    </row>
    <row r="24" spans="1:16" ht="18.75" customHeight="1" x14ac:dyDescent="0.3">
      <c r="A24" s="2">
        <f t="shared" ref="A24:A29" si="4">A23+1</f>
        <v>2</v>
      </c>
      <c r="B24" s="3" t="s">
        <v>53</v>
      </c>
      <c r="C24" s="3" t="s">
        <v>29</v>
      </c>
      <c r="D24" s="3">
        <v>100</v>
      </c>
      <c r="E24" s="3">
        <v>114</v>
      </c>
      <c r="F24" s="3">
        <v>38</v>
      </c>
      <c r="G24" s="3" t="s">
        <v>18</v>
      </c>
      <c r="H24" s="5">
        <f t="shared" ref="H24:H30" si="5">D24/F24</f>
        <v>2.6315789473684212</v>
      </c>
      <c r="J24" s="2">
        <f>J23+1</f>
        <v>2</v>
      </c>
      <c r="K24" s="3" t="s">
        <v>48</v>
      </c>
      <c r="L24" s="3" t="s">
        <v>49</v>
      </c>
      <c r="M24" s="3">
        <v>15</v>
      </c>
      <c r="N24" s="3">
        <v>38</v>
      </c>
      <c r="O24" s="3" t="s">
        <v>18</v>
      </c>
      <c r="P24" s="5">
        <f t="shared" si="3"/>
        <v>0.39473684210526316</v>
      </c>
    </row>
    <row r="25" spans="1:16" ht="18.75" customHeight="1" x14ac:dyDescent="0.3">
      <c r="A25" s="2">
        <f t="shared" si="4"/>
        <v>3</v>
      </c>
      <c r="B25" s="3" t="s">
        <v>13</v>
      </c>
      <c r="C25" s="3" t="s">
        <v>31</v>
      </c>
      <c r="D25" s="3">
        <v>99</v>
      </c>
      <c r="E25" s="3">
        <v>114</v>
      </c>
      <c r="F25" s="3">
        <v>38</v>
      </c>
      <c r="G25" s="3" t="s">
        <v>18</v>
      </c>
      <c r="H25" s="5">
        <f t="shared" si="5"/>
        <v>2.6052631578947367</v>
      </c>
      <c r="J25" s="2">
        <f>J24+1</f>
        <v>3</v>
      </c>
      <c r="K25" s="3" t="s">
        <v>34</v>
      </c>
      <c r="L25" s="3" t="s">
        <v>50</v>
      </c>
      <c r="M25" s="3">
        <v>17</v>
      </c>
      <c r="N25" s="3">
        <v>38</v>
      </c>
      <c r="O25" s="3" t="s">
        <v>15</v>
      </c>
      <c r="P25" s="5">
        <f t="shared" si="3"/>
        <v>0.44736842105263158</v>
      </c>
    </row>
    <row r="26" spans="1:16" ht="18.75" customHeight="1" x14ac:dyDescent="0.3">
      <c r="A26" s="2">
        <f t="shared" si="4"/>
        <v>4</v>
      </c>
      <c r="B26" s="3" t="s">
        <v>53</v>
      </c>
      <c r="C26" s="3" t="s">
        <v>14</v>
      </c>
      <c r="D26" s="3">
        <v>98</v>
      </c>
      <c r="E26" s="3">
        <v>114</v>
      </c>
      <c r="F26" s="3">
        <v>38</v>
      </c>
      <c r="G26" s="3" t="s">
        <v>18</v>
      </c>
      <c r="H26" s="5">
        <f t="shared" si="5"/>
        <v>2.5789473684210527</v>
      </c>
      <c r="J26" s="2">
        <f>J25+1</f>
        <v>4</v>
      </c>
      <c r="K26" s="3" t="s">
        <v>34</v>
      </c>
      <c r="L26" s="3" t="s">
        <v>84</v>
      </c>
      <c r="M26" s="3">
        <v>18</v>
      </c>
      <c r="N26" s="3">
        <v>38</v>
      </c>
      <c r="O26" s="3" t="s">
        <v>18</v>
      </c>
      <c r="P26" s="5">
        <f t="shared" si="3"/>
        <v>0.47368421052631576</v>
      </c>
    </row>
    <row r="27" spans="1:16" ht="18.75" customHeight="1" x14ac:dyDescent="0.3">
      <c r="A27" s="2">
        <f t="shared" si="4"/>
        <v>5</v>
      </c>
      <c r="B27" s="3" t="s">
        <v>13</v>
      </c>
      <c r="C27" s="3" t="s">
        <v>14</v>
      </c>
      <c r="D27" s="3">
        <v>97</v>
      </c>
      <c r="E27" s="3">
        <v>114</v>
      </c>
      <c r="F27" s="3">
        <v>38</v>
      </c>
      <c r="G27" s="3" t="s">
        <v>15</v>
      </c>
      <c r="H27" s="5">
        <f t="shared" si="5"/>
        <v>2.5526315789473686</v>
      </c>
      <c r="J27" s="2">
        <f>J26+1</f>
        <v>5</v>
      </c>
      <c r="K27" s="3" t="s">
        <v>206</v>
      </c>
      <c r="L27" s="3" t="s">
        <v>143</v>
      </c>
      <c r="M27" s="3">
        <v>24</v>
      </c>
      <c r="N27" s="3">
        <v>42</v>
      </c>
      <c r="O27" s="3" t="s">
        <v>18</v>
      </c>
      <c r="P27" s="5">
        <f t="shared" si="3"/>
        <v>0.5714285714285714</v>
      </c>
    </row>
    <row r="28" spans="1:16" ht="18.75" customHeight="1" x14ac:dyDescent="0.3">
      <c r="A28" s="2">
        <f t="shared" si="4"/>
        <v>6</v>
      </c>
      <c r="B28" s="3" t="s">
        <v>48</v>
      </c>
      <c r="C28" s="3" t="s">
        <v>49</v>
      </c>
      <c r="D28" s="3">
        <v>95</v>
      </c>
      <c r="E28" s="3">
        <v>114</v>
      </c>
      <c r="F28" s="3">
        <v>38</v>
      </c>
      <c r="G28" s="3" t="s">
        <v>18</v>
      </c>
      <c r="H28" s="5">
        <f t="shared" si="5"/>
        <v>2.5</v>
      </c>
      <c r="J28" s="2">
        <f>J29</f>
        <v>5</v>
      </c>
      <c r="K28" s="3" t="s">
        <v>13</v>
      </c>
      <c r="L28" s="3" t="s">
        <v>80</v>
      </c>
      <c r="M28" s="3">
        <v>24</v>
      </c>
      <c r="N28" s="3">
        <v>42</v>
      </c>
      <c r="O28" s="3" t="s">
        <v>15</v>
      </c>
      <c r="P28" s="5">
        <f t="shared" si="3"/>
        <v>0.5714285714285714</v>
      </c>
    </row>
    <row r="29" spans="1:16" ht="18.75" customHeight="1" x14ac:dyDescent="0.3">
      <c r="A29" s="2">
        <f t="shared" si="4"/>
        <v>7</v>
      </c>
      <c r="B29" s="3" t="s">
        <v>53</v>
      </c>
      <c r="C29" s="3" t="s">
        <v>26</v>
      </c>
      <c r="D29" s="3">
        <v>93</v>
      </c>
      <c r="E29" s="3">
        <v>114</v>
      </c>
      <c r="F29" s="3">
        <v>38</v>
      </c>
      <c r="G29" s="3" t="s">
        <v>18</v>
      </c>
      <c r="H29" s="5">
        <f t="shared" si="5"/>
        <v>2.4473684210526314</v>
      </c>
      <c r="J29" s="2">
        <f>J27</f>
        <v>5</v>
      </c>
      <c r="K29" s="3" t="s">
        <v>13</v>
      </c>
      <c r="L29" s="3" t="s">
        <v>116</v>
      </c>
      <c r="M29" s="3">
        <v>24</v>
      </c>
      <c r="N29" s="3">
        <v>42</v>
      </c>
      <c r="O29" s="3" t="s">
        <v>109</v>
      </c>
      <c r="P29" s="5">
        <f t="shared" si="3"/>
        <v>0.5714285714285714</v>
      </c>
    </row>
    <row r="30" spans="1:16" ht="18.75" customHeight="1" x14ac:dyDescent="0.3">
      <c r="A30" s="2">
        <f>A29</f>
        <v>7</v>
      </c>
      <c r="B30" s="3" t="s">
        <v>48</v>
      </c>
      <c r="C30" s="3" t="s">
        <v>25</v>
      </c>
      <c r="D30" s="3">
        <v>93</v>
      </c>
      <c r="E30" s="3">
        <v>114</v>
      </c>
      <c r="F30" s="3">
        <v>38</v>
      </c>
      <c r="G30" s="3" t="s">
        <v>18</v>
      </c>
      <c r="H30" s="5">
        <f t="shared" si="5"/>
        <v>2.4473684210526314</v>
      </c>
      <c r="J30" s="2">
        <f>J29+3</f>
        <v>8</v>
      </c>
      <c r="K30" s="3" t="s">
        <v>33</v>
      </c>
      <c r="L30" s="3" t="s">
        <v>59</v>
      </c>
      <c r="M30" s="3">
        <v>22</v>
      </c>
      <c r="N30" s="3">
        <v>38</v>
      </c>
      <c r="O30" s="3" t="s">
        <v>18</v>
      </c>
      <c r="P30" s="5">
        <f t="shared" si="3"/>
        <v>0.57894736842105265</v>
      </c>
    </row>
    <row r="31" spans="1:16" ht="18.75" customHeight="1" x14ac:dyDescent="0.3">
      <c r="A31" s="2">
        <f>A30+2</f>
        <v>9</v>
      </c>
      <c r="B31" s="3" t="s">
        <v>13</v>
      </c>
      <c r="C31" s="3" t="s">
        <v>78</v>
      </c>
      <c r="D31" s="3">
        <v>68</v>
      </c>
      <c r="E31" s="3" t="s">
        <v>117</v>
      </c>
      <c r="F31" s="3">
        <v>42</v>
      </c>
      <c r="G31" s="3" t="s">
        <v>18</v>
      </c>
      <c r="H31" s="5">
        <f>(D31/84)*3</f>
        <v>2.4285714285714288</v>
      </c>
      <c r="J31" s="2">
        <f>J30</f>
        <v>8</v>
      </c>
      <c r="K31" s="3" t="s">
        <v>48</v>
      </c>
      <c r="L31" s="3" t="s">
        <v>37</v>
      </c>
      <c r="M31" s="3">
        <v>22</v>
      </c>
      <c r="N31" s="3">
        <v>38</v>
      </c>
      <c r="O31" s="3" t="s">
        <v>18</v>
      </c>
      <c r="P31" s="5">
        <f t="shared" si="3"/>
        <v>0.57894736842105265</v>
      </c>
    </row>
    <row r="32" spans="1:16" ht="18.75" customHeight="1" x14ac:dyDescent="0.3">
      <c r="A32" s="2">
        <f>A31+1</f>
        <v>10</v>
      </c>
      <c r="B32" s="3" t="s">
        <v>91</v>
      </c>
      <c r="C32" s="3" t="s">
        <v>92</v>
      </c>
      <c r="D32" s="3">
        <v>42</v>
      </c>
      <c r="E32" s="3" t="s">
        <v>148</v>
      </c>
      <c r="F32" s="3">
        <v>26</v>
      </c>
      <c r="G32" s="3" t="s">
        <v>18</v>
      </c>
      <c r="H32" s="5">
        <f>(D32/52)*3</f>
        <v>2.4230769230769234</v>
      </c>
      <c r="J32" s="2">
        <f>J31</f>
        <v>8</v>
      </c>
      <c r="K32" s="3" t="s">
        <v>13</v>
      </c>
      <c r="L32" s="3" t="s">
        <v>14</v>
      </c>
      <c r="M32" s="3">
        <v>22</v>
      </c>
      <c r="N32" s="3">
        <v>38</v>
      </c>
      <c r="O32" s="3" t="s">
        <v>15</v>
      </c>
      <c r="P32" s="5">
        <f t="shared" si="3"/>
        <v>0.57894736842105265</v>
      </c>
    </row>
    <row r="33" spans="1:16" ht="18.75" customHeight="1" x14ac:dyDescent="0.3">
      <c r="A33" s="2">
        <f>A32</f>
        <v>10</v>
      </c>
      <c r="B33" s="3" t="s">
        <v>13</v>
      </c>
      <c r="C33" s="3" t="s">
        <v>26</v>
      </c>
      <c r="D33" s="3">
        <v>92</v>
      </c>
      <c r="E33" s="3">
        <v>114</v>
      </c>
      <c r="F33" s="3">
        <v>38</v>
      </c>
      <c r="G33" s="3" t="s">
        <v>15</v>
      </c>
      <c r="H33" s="5">
        <f>D33/F33</f>
        <v>2.4210526315789473</v>
      </c>
      <c r="J33" s="2">
        <f>J32+3</f>
        <v>11</v>
      </c>
      <c r="K33" s="3" t="s">
        <v>13</v>
      </c>
      <c r="L33" s="3" t="s">
        <v>82</v>
      </c>
      <c r="M33" s="3">
        <v>24</v>
      </c>
      <c r="N33" s="3">
        <v>40</v>
      </c>
      <c r="O33" s="3" t="s">
        <v>18</v>
      </c>
      <c r="P33" s="5">
        <f t="shared" si="3"/>
        <v>0.6</v>
      </c>
    </row>
    <row r="34" spans="1:16" ht="18.75" customHeight="1" x14ac:dyDescent="0.3">
      <c r="A34" s="2">
        <f>A33+2</f>
        <v>12</v>
      </c>
      <c r="B34" s="3" t="s">
        <v>91</v>
      </c>
      <c r="C34" s="3" t="s">
        <v>102</v>
      </c>
      <c r="D34" s="3">
        <v>48</v>
      </c>
      <c r="E34" s="3" t="s">
        <v>66</v>
      </c>
      <c r="F34" s="3">
        <v>30</v>
      </c>
      <c r="G34" s="3" t="s">
        <v>18</v>
      </c>
      <c r="H34" s="5">
        <f>(D34/60)*3</f>
        <v>2.4000000000000004</v>
      </c>
      <c r="J34" s="2">
        <f>J33+1</f>
        <v>12</v>
      </c>
      <c r="K34" s="3" t="s">
        <v>53</v>
      </c>
      <c r="L34" s="3" t="s">
        <v>14</v>
      </c>
      <c r="M34" s="3">
        <v>23</v>
      </c>
      <c r="N34" s="3">
        <v>38</v>
      </c>
      <c r="O34" s="3" t="s">
        <v>18</v>
      </c>
      <c r="P34" s="5">
        <f t="shared" si="3"/>
        <v>0.60526315789473684</v>
      </c>
    </row>
    <row r="35" spans="1:16" ht="18.75" customHeight="1" x14ac:dyDescent="0.3">
      <c r="A35" s="2">
        <f>A34+1</f>
        <v>13</v>
      </c>
      <c r="B35" s="3" t="s">
        <v>33</v>
      </c>
      <c r="C35" s="3" t="s">
        <v>133</v>
      </c>
      <c r="D35" s="3">
        <v>91</v>
      </c>
      <c r="E35" s="3">
        <v>114</v>
      </c>
      <c r="F35" s="3">
        <v>38</v>
      </c>
      <c r="G35" s="3" t="s">
        <v>18</v>
      </c>
      <c r="H35" s="5">
        <f>D35/F35</f>
        <v>2.3947368421052633</v>
      </c>
      <c r="J35" s="2">
        <f>J34+1</f>
        <v>13</v>
      </c>
      <c r="K35" s="3" t="s">
        <v>115</v>
      </c>
      <c r="L35" s="3" t="s">
        <v>80</v>
      </c>
      <c r="M35" s="3">
        <v>26</v>
      </c>
      <c r="N35" s="3">
        <v>42</v>
      </c>
      <c r="O35" s="3" t="s">
        <v>18</v>
      </c>
      <c r="P35" s="5">
        <f t="shared" si="3"/>
        <v>0.61904761904761907</v>
      </c>
    </row>
    <row r="36" spans="1:16" ht="18.75" customHeight="1" x14ac:dyDescent="0.3">
      <c r="A36" s="2">
        <f>A35</f>
        <v>13</v>
      </c>
      <c r="B36" s="3" t="s">
        <v>53</v>
      </c>
      <c r="C36" s="3" t="s">
        <v>35</v>
      </c>
      <c r="D36" s="3">
        <v>91</v>
      </c>
      <c r="E36" s="3">
        <v>114</v>
      </c>
      <c r="F36" s="3">
        <v>38</v>
      </c>
      <c r="G36" s="3" t="s">
        <v>18</v>
      </c>
      <c r="H36" s="5">
        <f>D36/F36</f>
        <v>2.3947368421052633</v>
      </c>
      <c r="J36" s="2">
        <f>J35</f>
        <v>13</v>
      </c>
      <c r="K36" s="3" t="s">
        <v>206</v>
      </c>
      <c r="L36" s="3" t="s">
        <v>78</v>
      </c>
      <c r="M36" s="3">
        <v>26</v>
      </c>
      <c r="N36" s="3">
        <v>42</v>
      </c>
      <c r="O36" s="3" t="s">
        <v>15</v>
      </c>
      <c r="P36" s="5">
        <f t="shared" si="3"/>
        <v>0.61904761904761907</v>
      </c>
    </row>
    <row r="37" spans="1:16" ht="18.75" customHeight="1" x14ac:dyDescent="0.3">
      <c r="A37" s="2">
        <f>A35</f>
        <v>13</v>
      </c>
      <c r="B37" s="3" t="s">
        <v>48</v>
      </c>
      <c r="C37" s="3" t="s">
        <v>37</v>
      </c>
      <c r="D37" s="3">
        <v>91</v>
      </c>
      <c r="E37" s="3">
        <v>114</v>
      </c>
      <c r="F37" s="3">
        <v>38</v>
      </c>
      <c r="G37" s="3" t="s">
        <v>18</v>
      </c>
      <c r="H37" s="5">
        <f>D37/F37</f>
        <v>2.3947368421052633</v>
      </c>
      <c r="J37" s="2">
        <f>J36+2</f>
        <v>15</v>
      </c>
      <c r="K37" s="3" t="s">
        <v>33</v>
      </c>
      <c r="L37" s="3" t="s">
        <v>197</v>
      </c>
      <c r="M37" s="3">
        <v>24</v>
      </c>
      <c r="N37" s="3">
        <v>38</v>
      </c>
      <c r="O37" s="3" t="s">
        <v>18</v>
      </c>
      <c r="P37" s="5">
        <f t="shared" si="3"/>
        <v>0.63157894736842102</v>
      </c>
    </row>
    <row r="38" spans="1:16" ht="18.75" customHeight="1" x14ac:dyDescent="0.3">
      <c r="A38" s="2">
        <f>A37</f>
        <v>13</v>
      </c>
      <c r="B38" s="3" t="s">
        <v>115</v>
      </c>
      <c r="C38" s="3" t="s">
        <v>80</v>
      </c>
      <c r="D38" s="3">
        <v>67</v>
      </c>
      <c r="E38" s="3" t="s">
        <v>117</v>
      </c>
      <c r="F38" s="3">
        <v>42</v>
      </c>
      <c r="G38" s="3" t="s">
        <v>18</v>
      </c>
      <c r="H38" s="5">
        <f>(D38/84)*3</f>
        <v>2.3928571428571432</v>
      </c>
      <c r="J38" s="2">
        <f>J37</f>
        <v>15</v>
      </c>
      <c r="K38" s="3" t="s">
        <v>48</v>
      </c>
      <c r="L38" s="3" t="s">
        <v>56</v>
      </c>
      <c r="M38" s="3">
        <v>24</v>
      </c>
      <c r="N38" s="3">
        <v>38</v>
      </c>
      <c r="O38" s="3" t="s">
        <v>15</v>
      </c>
      <c r="P38" s="5">
        <f t="shared" si="3"/>
        <v>0.63157894736842102</v>
      </c>
    </row>
    <row r="39" spans="1:16" ht="18.75" customHeight="1" x14ac:dyDescent="0.3">
      <c r="J39" s="2">
        <f>J38</f>
        <v>15</v>
      </c>
      <c r="K39" s="3" t="s">
        <v>48</v>
      </c>
      <c r="L39" s="3" t="s">
        <v>197</v>
      </c>
      <c r="M39" s="3">
        <v>24</v>
      </c>
      <c r="N39" s="3">
        <v>38</v>
      </c>
      <c r="O39" s="3" t="s">
        <v>44</v>
      </c>
      <c r="P39" s="5">
        <f t="shared" si="3"/>
        <v>0.63157894736842102</v>
      </c>
    </row>
  </sheetData>
  <mergeCells count="4">
    <mergeCell ref="J1:P1"/>
    <mergeCell ref="J21:P21"/>
    <mergeCell ref="A21:H21"/>
    <mergeCell ref="A1:H1"/>
  </mergeCells>
  <conditionalFormatting sqref="H3:H1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3:H38"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4:H38"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1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3:P36">
    <cfRule type="colorScale" priority="4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37:P39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38"/>
  <sheetViews>
    <sheetView zoomScaleNormal="100" workbookViewId="0">
      <selection sqref="A1:G1"/>
    </sheetView>
  </sheetViews>
  <sheetFormatPr baseColWidth="10" defaultRowHeight="15" x14ac:dyDescent="0.25"/>
  <cols>
    <col min="2" max="2" width="30.7109375" customWidth="1"/>
    <col min="3" max="4" width="14.5703125" customWidth="1"/>
    <col min="5" max="5" width="22.42578125" bestFit="1" customWidth="1"/>
    <col min="6" max="6" width="16.28515625" customWidth="1"/>
    <col min="7" max="7" width="28.42578125" bestFit="1" customWidth="1"/>
    <col min="10" max="10" width="13.85546875" customWidth="1"/>
    <col min="11" max="11" width="31.42578125" customWidth="1"/>
    <col min="12" max="12" width="18.140625" customWidth="1"/>
    <col min="13" max="13" width="19" customWidth="1"/>
    <col min="14" max="14" width="23.42578125" customWidth="1"/>
    <col min="15" max="15" width="16.28515625" customWidth="1"/>
    <col min="16" max="16" width="33.85546875" customWidth="1"/>
  </cols>
  <sheetData>
    <row r="1" spans="1:18" ht="18.75" customHeight="1" x14ac:dyDescent="0.3">
      <c r="A1" s="21" t="s">
        <v>227</v>
      </c>
      <c r="B1" s="20"/>
      <c r="C1" s="20"/>
      <c r="D1" s="20"/>
      <c r="E1" s="20"/>
      <c r="F1" s="20"/>
      <c r="G1" s="20"/>
      <c r="H1" s="6"/>
      <c r="I1" s="6"/>
      <c r="J1" s="21" t="s">
        <v>228</v>
      </c>
      <c r="K1" s="20"/>
      <c r="L1" s="20"/>
      <c r="M1" s="20"/>
      <c r="N1" s="20"/>
      <c r="O1" s="20"/>
      <c r="P1" s="20"/>
      <c r="Q1" s="6"/>
      <c r="R1" s="6"/>
    </row>
    <row r="2" spans="1:18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6"/>
      <c r="I2" s="6"/>
      <c r="J2" s="2" t="s">
        <v>4</v>
      </c>
      <c r="K2" s="2" t="s">
        <v>5</v>
      </c>
      <c r="L2" s="2" t="s">
        <v>6</v>
      </c>
      <c r="M2" s="2" t="s">
        <v>11</v>
      </c>
      <c r="N2" s="2" t="s">
        <v>8</v>
      </c>
      <c r="O2" s="2" t="s">
        <v>9</v>
      </c>
      <c r="P2" s="2" t="s">
        <v>12</v>
      </c>
      <c r="Q2" s="6"/>
      <c r="R2" s="6"/>
    </row>
    <row r="3" spans="1:18" ht="18.75" customHeight="1" x14ac:dyDescent="0.3">
      <c r="A3" s="2">
        <v>1</v>
      </c>
      <c r="B3" s="3" t="s">
        <v>28</v>
      </c>
      <c r="C3" s="3" t="s">
        <v>29</v>
      </c>
      <c r="D3" s="3">
        <v>91</v>
      </c>
      <c r="E3" s="3">
        <v>38</v>
      </c>
      <c r="F3" s="3" t="s">
        <v>15</v>
      </c>
      <c r="G3" s="5">
        <f t="shared" ref="G3:G12" si="0">D3/E3</f>
        <v>2.3947368421052633</v>
      </c>
      <c r="H3" s="6"/>
      <c r="I3" s="6"/>
      <c r="J3" s="2">
        <v>1</v>
      </c>
      <c r="K3" s="7" t="s">
        <v>229</v>
      </c>
      <c r="L3" s="7" t="s">
        <v>31</v>
      </c>
      <c r="M3" s="7">
        <v>98</v>
      </c>
      <c r="N3" s="7">
        <v>38</v>
      </c>
      <c r="O3" s="7" t="s">
        <v>44</v>
      </c>
      <c r="P3" s="8">
        <f t="shared" ref="P3:P12" si="1">M3/N3</f>
        <v>2.5789473684210527</v>
      </c>
      <c r="Q3" s="6"/>
      <c r="R3" s="6"/>
    </row>
    <row r="4" spans="1:18" ht="18.75" customHeight="1" x14ac:dyDescent="0.3">
      <c r="A4" s="2">
        <f t="shared" ref="A4:A9" si="2">A3+1</f>
        <v>2</v>
      </c>
      <c r="B4" s="3" t="s">
        <v>36</v>
      </c>
      <c r="C4" s="3" t="s">
        <v>37</v>
      </c>
      <c r="D4" s="3">
        <v>88</v>
      </c>
      <c r="E4" s="3">
        <v>38</v>
      </c>
      <c r="F4" s="3" t="s">
        <v>38</v>
      </c>
      <c r="G4" s="5">
        <f t="shared" si="0"/>
        <v>2.3157894736842106</v>
      </c>
      <c r="H4" s="6"/>
      <c r="I4" s="6"/>
      <c r="J4" s="2">
        <f>J3+1</f>
        <v>2</v>
      </c>
      <c r="K4" s="7" t="s">
        <v>28</v>
      </c>
      <c r="L4" s="7" t="s">
        <v>25</v>
      </c>
      <c r="M4" s="7">
        <v>94</v>
      </c>
      <c r="N4" s="7">
        <v>38</v>
      </c>
      <c r="O4" s="7" t="s">
        <v>44</v>
      </c>
      <c r="P4" s="8">
        <f t="shared" si="1"/>
        <v>2.4736842105263159</v>
      </c>
      <c r="Q4" s="6"/>
      <c r="R4" s="6"/>
    </row>
    <row r="5" spans="1:18" ht="18.75" customHeight="1" x14ac:dyDescent="0.3">
      <c r="A5" s="2">
        <f t="shared" si="2"/>
        <v>3</v>
      </c>
      <c r="B5" s="3" t="s">
        <v>42</v>
      </c>
      <c r="C5" s="3" t="s">
        <v>25</v>
      </c>
      <c r="D5" s="3">
        <v>87</v>
      </c>
      <c r="E5" s="3">
        <v>38</v>
      </c>
      <c r="F5" s="3" t="s">
        <v>15</v>
      </c>
      <c r="G5" s="5">
        <f t="shared" si="0"/>
        <v>2.2894736842105261</v>
      </c>
      <c r="H5" s="6"/>
      <c r="I5" s="6"/>
      <c r="J5" s="2">
        <f>J6</f>
        <v>3</v>
      </c>
      <c r="K5" s="7" t="s">
        <v>42</v>
      </c>
      <c r="L5" s="7" t="s">
        <v>25</v>
      </c>
      <c r="M5" s="7">
        <v>90</v>
      </c>
      <c r="N5" s="7">
        <v>38</v>
      </c>
      <c r="O5" s="7" t="s">
        <v>15</v>
      </c>
      <c r="P5" s="8">
        <f t="shared" si="1"/>
        <v>2.3684210526315788</v>
      </c>
      <c r="Q5" s="6"/>
      <c r="R5" s="6"/>
    </row>
    <row r="6" spans="1:18" ht="18.75" customHeight="1" x14ac:dyDescent="0.3">
      <c r="A6" s="2">
        <f t="shared" si="2"/>
        <v>4</v>
      </c>
      <c r="B6" s="3" t="s">
        <v>28</v>
      </c>
      <c r="C6" s="3" t="s">
        <v>25</v>
      </c>
      <c r="D6" s="3">
        <v>86</v>
      </c>
      <c r="E6" s="3">
        <v>38</v>
      </c>
      <c r="F6" s="3" t="s">
        <v>44</v>
      </c>
      <c r="G6" s="5">
        <f t="shared" si="0"/>
        <v>2.263157894736842</v>
      </c>
      <c r="H6" s="6"/>
      <c r="I6" s="6"/>
      <c r="J6" s="2">
        <f>J4+1</f>
        <v>3</v>
      </c>
      <c r="K6" s="7" t="s">
        <v>229</v>
      </c>
      <c r="L6" s="7" t="s">
        <v>32</v>
      </c>
      <c r="M6" s="7">
        <v>90</v>
      </c>
      <c r="N6" s="7">
        <v>38</v>
      </c>
      <c r="O6" s="7" t="s">
        <v>44</v>
      </c>
      <c r="P6" s="8">
        <f t="shared" si="1"/>
        <v>2.3684210526315788</v>
      </c>
      <c r="Q6" s="6"/>
      <c r="R6" s="6"/>
    </row>
    <row r="7" spans="1:18" ht="18.75" customHeight="1" x14ac:dyDescent="0.3">
      <c r="A7" s="2">
        <f t="shared" si="2"/>
        <v>5</v>
      </c>
      <c r="B7" s="3" t="s">
        <v>42</v>
      </c>
      <c r="C7" s="3" t="s">
        <v>40</v>
      </c>
      <c r="D7" s="3">
        <v>85</v>
      </c>
      <c r="E7" s="3">
        <v>38</v>
      </c>
      <c r="F7" s="3" t="s">
        <v>15</v>
      </c>
      <c r="G7" s="5">
        <f t="shared" si="0"/>
        <v>2.236842105263158</v>
      </c>
      <c r="H7" s="6"/>
      <c r="I7" s="6"/>
      <c r="J7" s="2">
        <f>J5+2</f>
        <v>5</v>
      </c>
      <c r="K7" s="7" t="s">
        <v>55</v>
      </c>
      <c r="L7" s="7" t="s">
        <v>32</v>
      </c>
      <c r="M7" s="7">
        <v>89</v>
      </c>
      <c r="N7" s="7">
        <v>38</v>
      </c>
      <c r="O7" s="7" t="s">
        <v>18</v>
      </c>
      <c r="P7" s="8">
        <f t="shared" si="1"/>
        <v>2.3421052631578947</v>
      </c>
      <c r="Q7" s="6"/>
      <c r="R7" s="6"/>
    </row>
    <row r="8" spans="1:18" ht="18.75" customHeight="1" x14ac:dyDescent="0.3">
      <c r="A8" s="2">
        <f t="shared" si="2"/>
        <v>6</v>
      </c>
      <c r="B8" s="3" t="s">
        <v>55</v>
      </c>
      <c r="C8" s="3" t="s">
        <v>26</v>
      </c>
      <c r="D8" s="3">
        <v>84</v>
      </c>
      <c r="E8" s="3">
        <v>38</v>
      </c>
      <c r="F8" s="3" t="s">
        <v>15</v>
      </c>
      <c r="G8" s="5">
        <f t="shared" si="0"/>
        <v>2.2105263157894739</v>
      </c>
      <c r="H8" s="6"/>
      <c r="I8" s="6"/>
      <c r="J8" s="2">
        <f>J7</f>
        <v>5</v>
      </c>
      <c r="K8" s="7" t="s">
        <v>55</v>
      </c>
      <c r="L8" s="7" t="s">
        <v>35</v>
      </c>
      <c r="M8" s="7">
        <v>89</v>
      </c>
      <c r="N8" s="7">
        <v>38</v>
      </c>
      <c r="O8" s="7" t="s">
        <v>18</v>
      </c>
      <c r="P8" s="8">
        <f t="shared" si="1"/>
        <v>2.3421052631578947</v>
      </c>
      <c r="Q8" s="6"/>
      <c r="R8" s="6"/>
    </row>
    <row r="9" spans="1:18" ht="18.75" customHeight="1" x14ac:dyDescent="0.3">
      <c r="A9" s="2">
        <f t="shared" si="2"/>
        <v>7</v>
      </c>
      <c r="B9" s="3" t="s">
        <v>55</v>
      </c>
      <c r="C9" s="3" t="s">
        <v>31</v>
      </c>
      <c r="D9" s="3">
        <v>82</v>
      </c>
      <c r="E9" s="3">
        <v>38</v>
      </c>
      <c r="F9" s="3" t="s">
        <v>15</v>
      </c>
      <c r="G9" s="5">
        <f t="shared" si="0"/>
        <v>2.1578947368421053</v>
      </c>
      <c r="H9" s="6"/>
      <c r="I9" s="6"/>
      <c r="J9" s="2">
        <f>J8</f>
        <v>5</v>
      </c>
      <c r="K9" s="7" t="s">
        <v>55</v>
      </c>
      <c r="L9" s="7" t="s">
        <v>17</v>
      </c>
      <c r="M9" s="7">
        <v>89</v>
      </c>
      <c r="N9" s="7">
        <v>38</v>
      </c>
      <c r="O9" s="7" t="s">
        <v>18</v>
      </c>
      <c r="P9" s="8">
        <f t="shared" si="1"/>
        <v>2.3421052631578947</v>
      </c>
      <c r="Q9" s="6"/>
      <c r="R9" s="6"/>
    </row>
    <row r="10" spans="1:18" ht="18.75" customHeight="1" x14ac:dyDescent="0.3">
      <c r="A10" s="2">
        <f>A9</f>
        <v>7</v>
      </c>
      <c r="B10" s="3" t="s">
        <v>28</v>
      </c>
      <c r="C10" s="3" t="s">
        <v>30</v>
      </c>
      <c r="D10" s="3">
        <v>82</v>
      </c>
      <c r="E10" s="3">
        <v>38</v>
      </c>
      <c r="F10" s="3" t="s">
        <v>15</v>
      </c>
      <c r="G10" s="5">
        <f t="shared" si="0"/>
        <v>2.1578947368421053</v>
      </c>
      <c r="H10" s="6"/>
      <c r="I10" s="6"/>
      <c r="J10" s="2">
        <f>J8</f>
        <v>5</v>
      </c>
      <c r="K10" s="7" t="s">
        <v>230</v>
      </c>
      <c r="L10" s="7" t="s">
        <v>29</v>
      </c>
      <c r="M10" s="7">
        <v>89</v>
      </c>
      <c r="N10" s="7">
        <v>38</v>
      </c>
      <c r="O10" s="7" t="s">
        <v>109</v>
      </c>
      <c r="P10" s="8">
        <f t="shared" si="1"/>
        <v>2.3421052631578947</v>
      </c>
      <c r="Q10" s="6"/>
      <c r="R10" s="6"/>
    </row>
    <row r="11" spans="1:18" ht="18.75" customHeight="1" x14ac:dyDescent="0.3">
      <c r="A11" s="2">
        <f>A10</f>
        <v>7</v>
      </c>
      <c r="B11" s="3" t="s">
        <v>42</v>
      </c>
      <c r="C11" s="3" t="s">
        <v>59</v>
      </c>
      <c r="D11" s="3">
        <v>82</v>
      </c>
      <c r="E11" s="3">
        <v>38</v>
      </c>
      <c r="F11" s="3" t="s">
        <v>15</v>
      </c>
      <c r="G11" s="5">
        <f t="shared" si="0"/>
        <v>2.1578947368421053</v>
      </c>
      <c r="H11" s="6"/>
      <c r="I11" s="6"/>
      <c r="J11" s="2">
        <f>J10+4</f>
        <v>9</v>
      </c>
      <c r="K11" s="7" t="s">
        <v>367</v>
      </c>
      <c r="L11" s="7" t="s">
        <v>29</v>
      </c>
      <c r="M11" s="7">
        <v>86</v>
      </c>
      <c r="N11" s="7">
        <v>38</v>
      </c>
      <c r="O11" s="7" t="s">
        <v>18</v>
      </c>
      <c r="P11" s="8">
        <f t="shared" si="1"/>
        <v>2.263157894736842</v>
      </c>
      <c r="Q11" s="6"/>
      <c r="R11" s="6"/>
    </row>
    <row r="12" spans="1:18" ht="18.75" customHeight="1" x14ac:dyDescent="0.3">
      <c r="A12" s="2">
        <f>A11+3</f>
        <v>10</v>
      </c>
      <c r="B12" s="3" t="s">
        <v>367</v>
      </c>
      <c r="C12" s="3" t="s">
        <v>231</v>
      </c>
      <c r="D12" s="3">
        <v>73</v>
      </c>
      <c r="E12" s="3">
        <v>34</v>
      </c>
      <c r="F12" s="3" t="s">
        <v>15</v>
      </c>
      <c r="G12" s="5">
        <f t="shared" si="0"/>
        <v>2.1470588235294117</v>
      </c>
      <c r="H12" s="6"/>
      <c r="I12" s="6"/>
      <c r="J12" s="2">
        <f>J11</f>
        <v>9</v>
      </c>
      <c r="K12" s="7" t="s">
        <v>28</v>
      </c>
      <c r="L12" s="7" t="s">
        <v>32</v>
      </c>
      <c r="M12" s="7">
        <v>86</v>
      </c>
      <c r="N12" s="7">
        <v>38</v>
      </c>
      <c r="O12" s="7" t="s">
        <v>109</v>
      </c>
      <c r="P12" s="8">
        <f t="shared" si="1"/>
        <v>2.263157894736842</v>
      </c>
    </row>
    <row r="13" spans="1:18" ht="18.7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18.75" customHeight="1" x14ac:dyDescent="0.3">
      <c r="A14" s="21" t="s">
        <v>232</v>
      </c>
      <c r="B14" s="20"/>
      <c r="C14" s="20"/>
      <c r="D14" s="20"/>
      <c r="E14" s="20"/>
      <c r="F14" s="20"/>
      <c r="G14" s="20"/>
      <c r="H14" s="6"/>
      <c r="I14" s="6"/>
      <c r="J14" s="21" t="s">
        <v>233</v>
      </c>
      <c r="K14" s="20"/>
      <c r="L14" s="20"/>
      <c r="M14" s="20"/>
      <c r="N14" s="20"/>
      <c r="O14" s="20"/>
      <c r="P14" s="20"/>
      <c r="Q14" s="6"/>
      <c r="R14" s="6"/>
    </row>
    <row r="15" spans="1:18" ht="18.75" customHeight="1" x14ac:dyDescent="0.3">
      <c r="A15" s="2" t="s">
        <v>4</v>
      </c>
      <c r="B15" s="2" t="s">
        <v>5</v>
      </c>
      <c r="C15" s="2" t="s">
        <v>6</v>
      </c>
      <c r="D15" s="2" t="s">
        <v>7</v>
      </c>
      <c r="E15" s="2" t="s">
        <v>8</v>
      </c>
      <c r="F15" s="2" t="s">
        <v>9</v>
      </c>
      <c r="G15" s="2" t="s">
        <v>10</v>
      </c>
      <c r="H15" s="6"/>
      <c r="I15" s="6"/>
      <c r="J15" s="2" t="s">
        <v>4</v>
      </c>
      <c r="K15" s="2" t="s">
        <v>5</v>
      </c>
      <c r="L15" s="2" t="s">
        <v>6</v>
      </c>
      <c r="M15" s="2" t="s">
        <v>201</v>
      </c>
      <c r="N15" s="2" t="s">
        <v>8</v>
      </c>
      <c r="O15" s="2" t="s">
        <v>9</v>
      </c>
      <c r="P15" s="2" t="s">
        <v>202</v>
      </c>
      <c r="Q15" s="6"/>
      <c r="R15" s="6"/>
    </row>
    <row r="16" spans="1:18" ht="18.75" customHeight="1" x14ac:dyDescent="0.3">
      <c r="A16" s="2">
        <v>1</v>
      </c>
      <c r="B16" s="3" t="s">
        <v>367</v>
      </c>
      <c r="C16" s="3" t="s">
        <v>40</v>
      </c>
      <c r="D16" s="3">
        <v>102</v>
      </c>
      <c r="E16" s="3">
        <v>38</v>
      </c>
      <c r="F16" s="3" t="s">
        <v>18</v>
      </c>
      <c r="G16" s="5">
        <f t="shared" ref="G16:G25" si="3">D16/E16</f>
        <v>2.6842105263157894</v>
      </c>
      <c r="H16" s="6"/>
      <c r="I16" s="6"/>
      <c r="J16" s="2">
        <v>1</v>
      </c>
      <c r="K16" s="7" t="s">
        <v>367</v>
      </c>
      <c r="L16" s="7" t="s">
        <v>30</v>
      </c>
      <c r="M16" s="7">
        <v>20</v>
      </c>
      <c r="N16" s="7">
        <v>38</v>
      </c>
      <c r="O16" s="7" t="s">
        <v>18</v>
      </c>
      <c r="P16" s="8">
        <f t="shared" ref="P16:P26" si="4">M16/N16</f>
        <v>0.52631578947368418</v>
      </c>
      <c r="Q16" s="6"/>
      <c r="R16" s="6"/>
    </row>
    <row r="17" spans="1:18" ht="18.75" customHeight="1" x14ac:dyDescent="0.3">
      <c r="A17" s="2">
        <f>A16+1</f>
        <v>2</v>
      </c>
      <c r="B17" s="3" t="s">
        <v>55</v>
      </c>
      <c r="C17" s="3" t="s">
        <v>56</v>
      </c>
      <c r="D17" s="3">
        <v>97</v>
      </c>
      <c r="E17" s="3">
        <v>38</v>
      </c>
      <c r="F17" s="3" t="s">
        <v>18</v>
      </c>
      <c r="G17" s="5">
        <f t="shared" si="3"/>
        <v>2.5526315789473686</v>
      </c>
      <c r="H17" s="6"/>
      <c r="I17" s="6"/>
      <c r="J17" s="2">
        <f>J16</f>
        <v>1</v>
      </c>
      <c r="K17" s="7" t="s">
        <v>367</v>
      </c>
      <c r="L17" s="7" t="s">
        <v>21</v>
      </c>
      <c r="M17" s="7">
        <v>20</v>
      </c>
      <c r="N17" s="7">
        <v>38</v>
      </c>
      <c r="O17" s="7" t="s">
        <v>18</v>
      </c>
      <c r="P17" s="8">
        <f t="shared" si="4"/>
        <v>0.52631578947368418</v>
      </c>
      <c r="Q17" s="6"/>
      <c r="R17" s="6"/>
    </row>
    <row r="18" spans="1:18" ht="18.75" customHeight="1" x14ac:dyDescent="0.3">
      <c r="A18" s="2">
        <f>A17+1</f>
        <v>3</v>
      </c>
      <c r="B18" s="3" t="s">
        <v>367</v>
      </c>
      <c r="C18" s="3" t="s">
        <v>29</v>
      </c>
      <c r="D18" s="3">
        <v>95</v>
      </c>
      <c r="E18" s="3">
        <v>38</v>
      </c>
      <c r="F18" s="3" t="s">
        <v>18</v>
      </c>
      <c r="G18" s="5">
        <f t="shared" si="3"/>
        <v>2.5</v>
      </c>
      <c r="H18" s="6"/>
      <c r="I18" s="6"/>
      <c r="J18" s="2">
        <f>J17+2</f>
        <v>3</v>
      </c>
      <c r="K18" s="7" t="s">
        <v>42</v>
      </c>
      <c r="L18" s="7" t="s">
        <v>57</v>
      </c>
      <c r="M18" s="7">
        <v>19</v>
      </c>
      <c r="N18" s="7">
        <v>34</v>
      </c>
      <c r="O18" s="7" t="s">
        <v>15</v>
      </c>
      <c r="P18" s="8">
        <f t="shared" si="4"/>
        <v>0.55882352941176472</v>
      </c>
      <c r="Q18" s="6"/>
      <c r="R18" s="6"/>
    </row>
    <row r="19" spans="1:18" ht="18.75" customHeight="1" x14ac:dyDescent="0.3">
      <c r="A19" s="2">
        <f>A18+1</f>
        <v>4</v>
      </c>
      <c r="B19" s="3" t="s">
        <v>55</v>
      </c>
      <c r="C19" s="3" t="s">
        <v>35</v>
      </c>
      <c r="D19" s="3">
        <v>94</v>
      </c>
      <c r="E19" s="3">
        <v>38</v>
      </c>
      <c r="F19" s="3" t="s">
        <v>18</v>
      </c>
      <c r="G19" s="5">
        <f t="shared" si="3"/>
        <v>2.4736842105263159</v>
      </c>
      <c r="H19" s="6"/>
      <c r="I19" s="6"/>
      <c r="J19" s="2">
        <f>J18+1</f>
        <v>4</v>
      </c>
      <c r="K19" s="7" t="s">
        <v>55</v>
      </c>
      <c r="L19" s="7" t="s">
        <v>35</v>
      </c>
      <c r="M19" s="7">
        <v>22</v>
      </c>
      <c r="N19" s="7">
        <v>38</v>
      </c>
      <c r="O19" s="7" t="s">
        <v>18</v>
      </c>
      <c r="P19" s="8">
        <f t="shared" si="4"/>
        <v>0.57894736842105265</v>
      </c>
      <c r="Q19" s="6"/>
      <c r="R19" s="6"/>
    </row>
    <row r="20" spans="1:18" ht="18.75" customHeight="1" x14ac:dyDescent="0.3">
      <c r="A20" s="2">
        <f>A19+1</f>
        <v>5</v>
      </c>
      <c r="B20" s="3" t="s">
        <v>79</v>
      </c>
      <c r="C20" s="3" t="s">
        <v>57</v>
      </c>
      <c r="D20" s="3">
        <v>82</v>
      </c>
      <c r="E20" s="3">
        <v>34</v>
      </c>
      <c r="F20" s="3" t="s">
        <v>18</v>
      </c>
      <c r="G20" s="5">
        <f t="shared" si="3"/>
        <v>2.4117647058823528</v>
      </c>
      <c r="H20" s="6"/>
      <c r="I20" s="6"/>
      <c r="J20" s="2">
        <f>J19+1</f>
        <v>5</v>
      </c>
      <c r="K20" s="7" t="s">
        <v>367</v>
      </c>
      <c r="L20" s="7" t="s">
        <v>133</v>
      </c>
      <c r="M20" s="7">
        <v>20</v>
      </c>
      <c r="N20" s="7">
        <v>34</v>
      </c>
      <c r="O20" s="7" t="s">
        <v>15</v>
      </c>
      <c r="P20" s="8">
        <f t="shared" si="4"/>
        <v>0.58823529411764708</v>
      </c>
      <c r="Q20" s="6"/>
      <c r="R20" s="6"/>
    </row>
    <row r="21" spans="1:18" ht="18.75" customHeight="1" x14ac:dyDescent="0.3">
      <c r="A21" s="2">
        <f>A20+1</f>
        <v>6</v>
      </c>
      <c r="B21" s="3" t="s">
        <v>55</v>
      </c>
      <c r="C21" s="3" t="s">
        <v>32</v>
      </c>
      <c r="D21" s="3">
        <v>91</v>
      </c>
      <c r="E21" s="3">
        <v>38</v>
      </c>
      <c r="F21" s="3" t="s">
        <v>18</v>
      </c>
      <c r="G21" s="5">
        <f t="shared" si="3"/>
        <v>2.3947368421052633</v>
      </c>
      <c r="H21" s="6"/>
      <c r="I21" s="6"/>
      <c r="J21" s="2">
        <f>J20+1</f>
        <v>6</v>
      </c>
      <c r="K21" s="7" t="s">
        <v>367</v>
      </c>
      <c r="L21" s="7" t="s">
        <v>40</v>
      </c>
      <c r="M21" s="7">
        <v>23</v>
      </c>
      <c r="N21" s="7">
        <v>38</v>
      </c>
      <c r="O21" s="7" t="s">
        <v>18</v>
      </c>
      <c r="P21" s="8">
        <f t="shared" si="4"/>
        <v>0.60526315789473684</v>
      </c>
      <c r="Q21" s="6"/>
      <c r="R21" s="6"/>
    </row>
    <row r="22" spans="1:18" ht="18.75" customHeight="1" x14ac:dyDescent="0.3">
      <c r="A22" s="2">
        <f>A21</f>
        <v>6</v>
      </c>
      <c r="B22" s="3" t="s">
        <v>367</v>
      </c>
      <c r="C22" s="3" t="s">
        <v>25</v>
      </c>
      <c r="D22" s="3">
        <v>91</v>
      </c>
      <c r="E22" s="3">
        <v>38</v>
      </c>
      <c r="F22" s="3" t="s">
        <v>18</v>
      </c>
      <c r="G22" s="5">
        <f t="shared" si="3"/>
        <v>2.3947368421052633</v>
      </c>
      <c r="H22" s="6"/>
      <c r="I22" s="6"/>
      <c r="J22" s="2">
        <f>J21+1</f>
        <v>7</v>
      </c>
      <c r="K22" s="7" t="s">
        <v>367</v>
      </c>
      <c r="L22" s="7" t="s">
        <v>29</v>
      </c>
      <c r="M22" s="7">
        <v>24</v>
      </c>
      <c r="N22" s="7">
        <v>38</v>
      </c>
      <c r="O22" s="7" t="s">
        <v>18</v>
      </c>
      <c r="P22" s="8">
        <f t="shared" si="4"/>
        <v>0.63157894736842102</v>
      </c>
      <c r="Q22" s="6"/>
      <c r="R22" s="6"/>
    </row>
    <row r="23" spans="1:18" ht="18.75" customHeight="1" x14ac:dyDescent="0.3">
      <c r="A23" s="2">
        <f>A22</f>
        <v>6</v>
      </c>
      <c r="B23" s="3" t="s">
        <v>367</v>
      </c>
      <c r="C23" s="3" t="s">
        <v>30</v>
      </c>
      <c r="D23" s="3">
        <v>91</v>
      </c>
      <c r="E23" s="3">
        <v>38</v>
      </c>
      <c r="F23" s="3" t="s">
        <v>18</v>
      </c>
      <c r="G23" s="5">
        <f t="shared" si="3"/>
        <v>2.3947368421052633</v>
      </c>
      <c r="H23" s="6"/>
      <c r="I23" s="6"/>
      <c r="J23" s="2">
        <f>J22</f>
        <v>7</v>
      </c>
      <c r="K23" s="7" t="s">
        <v>79</v>
      </c>
      <c r="L23" s="7" t="s">
        <v>22</v>
      </c>
      <c r="M23" s="7">
        <v>24</v>
      </c>
      <c r="N23" s="7">
        <v>38</v>
      </c>
      <c r="O23" s="7" t="s">
        <v>18</v>
      </c>
      <c r="P23" s="8">
        <f t="shared" si="4"/>
        <v>0.63157894736842102</v>
      </c>
      <c r="Q23" s="6"/>
      <c r="R23" s="6"/>
    </row>
    <row r="24" spans="1:18" ht="18.75" customHeight="1" x14ac:dyDescent="0.3">
      <c r="A24" s="2">
        <f>A23</f>
        <v>6</v>
      </c>
      <c r="B24" s="3" t="s">
        <v>234</v>
      </c>
      <c r="C24" s="3" t="s">
        <v>37</v>
      </c>
      <c r="D24" s="3">
        <v>91</v>
      </c>
      <c r="E24" s="3">
        <v>38</v>
      </c>
      <c r="F24" s="3" t="s">
        <v>235</v>
      </c>
      <c r="G24" s="5">
        <f t="shared" si="3"/>
        <v>2.3947368421052633</v>
      </c>
      <c r="H24" s="6"/>
      <c r="I24" s="6"/>
      <c r="J24" s="2">
        <f>J23</f>
        <v>7</v>
      </c>
      <c r="K24" s="7" t="s">
        <v>367</v>
      </c>
      <c r="L24" s="7" t="s">
        <v>23</v>
      </c>
      <c r="M24" s="7">
        <v>24</v>
      </c>
      <c r="N24" s="7">
        <v>38</v>
      </c>
      <c r="O24" s="7" t="s">
        <v>18</v>
      </c>
      <c r="P24" s="8">
        <f t="shared" si="4"/>
        <v>0.63157894736842102</v>
      </c>
      <c r="Q24" s="6"/>
      <c r="R24" s="6"/>
    </row>
    <row r="25" spans="1:18" ht="18.75" customHeight="1" x14ac:dyDescent="0.3">
      <c r="A25" s="2">
        <f>A24</f>
        <v>6</v>
      </c>
      <c r="B25" s="3" t="s">
        <v>28</v>
      </c>
      <c r="C25" s="3" t="s">
        <v>29</v>
      </c>
      <c r="D25" s="3">
        <v>91</v>
      </c>
      <c r="E25" s="3">
        <v>38</v>
      </c>
      <c r="F25" s="3" t="s">
        <v>15</v>
      </c>
      <c r="G25" s="5">
        <f t="shared" si="3"/>
        <v>2.3947368421052633</v>
      </c>
      <c r="H25" s="6"/>
      <c r="I25" s="6"/>
      <c r="J25" s="2">
        <f>J24</f>
        <v>7</v>
      </c>
      <c r="K25" s="7" t="s">
        <v>367</v>
      </c>
      <c r="L25" s="7" t="s">
        <v>27</v>
      </c>
      <c r="M25" s="7">
        <v>24</v>
      </c>
      <c r="N25" s="7">
        <v>38</v>
      </c>
      <c r="O25" s="7" t="s">
        <v>18</v>
      </c>
      <c r="P25" s="8">
        <f t="shared" si="4"/>
        <v>0.63157894736842102</v>
      </c>
      <c r="Q25" s="6"/>
      <c r="R25" s="6"/>
    </row>
    <row r="26" spans="1:18" ht="18.75" customHeight="1" x14ac:dyDescent="0.3">
      <c r="H26" s="6"/>
      <c r="I26" s="6"/>
      <c r="J26" s="2">
        <f>J25</f>
        <v>7</v>
      </c>
      <c r="K26" s="7" t="s">
        <v>234</v>
      </c>
      <c r="L26" s="7" t="s">
        <v>37</v>
      </c>
      <c r="M26" s="7">
        <v>24</v>
      </c>
      <c r="N26" s="7">
        <v>38</v>
      </c>
      <c r="O26" s="7" t="s">
        <v>235</v>
      </c>
      <c r="P26" s="8">
        <f t="shared" si="4"/>
        <v>0.63157894736842102</v>
      </c>
      <c r="Q26" s="6"/>
      <c r="R26" s="6"/>
    </row>
    <row r="27" spans="1:18" ht="18.75" customHeight="1" x14ac:dyDescent="0.3"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ht="18.75" customHeight="1" x14ac:dyDescent="0.3">
      <c r="H28" s="6"/>
      <c r="I28" s="6"/>
      <c r="Q28" s="6"/>
      <c r="R28" s="6"/>
    </row>
    <row r="29" spans="1:18" ht="18.75" customHeight="1" x14ac:dyDescent="0.3">
      <c r="H29" s="6"/>
      <c r="I29" s="6"/>
      <c r="Q29" s="6"/>
      <c r="R29" s="6"/>
    </row>
    <row r="30" spans="1:18" ht="18.75" customHeight="1" x14ac:dyDescent="0.3">
      <c r="H30" s="6"/>
      <c r="I30" s="6"/>
      <c r="Q30" s="6"/>
      <c r="R30" s="6"/>
    </row>
    <row r="31" spans="1:18" ht="18.75" customHeight="1" x14ac:dyDescent="0.3">
      <c r="H31" s="6"/>
      <c r="I31" s="6"/>
      <c r="Q31" s="6"/>
      <c r="R31" s="6"/>
    </row>
    <row r="32" spans="1:18" ht="18.75" customHeight="1" x14ac:dyDescent="0.3">
      <c r="H32" s="6"/>
      <c r="I32" s="6"/>
      <c r="Q32" s="6"/>
      <c r="R32" s="6"/>
    </row>
    <row r="33" spans="8:18" ht="18.75" customHeight="1" x14ac:dyDescent="0.3">
      <c r="H33" s="6"/>
      <c r="I33" s="6"/>
      <c r="Q33" s="6"/>
      <c r="R33" s="6"/>
    </row>
    <row r="34" spans="8:18" ht="18.75" customHeight="1" x14ac:dyDescent="0.3">
      <c r="H34" s="6"/>
      <c r="I34" s="6"/>
      <c r="Q34" s="6"/>
      <c r="R34" s="6"/>
    </row>
    <row r="35" spans="8:18" ht="18.75" customHeight="1" x14ac:dyDescent="0.3">
      <c r="H35" s="6"/>
      <c r="I35" s="6"/>
    </row>
    <row r="36" spans="8:18" ht="18.75" customHeight="1" x14ac:dyDescent="0.3">
      <c r="H36" s="6"/>
      <c r="I36" s="6"/>
    </row>
    <row r="37" spans="8:18" ht="18.75" customHeight="1" x14ac:dyDescent="0.3">
      <c r="H37" s="6"/>
      <c r="I37" s="6"/>
    </row>
    <row r="38" spans="8:18" ht="18.75" customHeight="1" x14ac:dyDescent="0.3">
      <c r="H38" s="6"/>
      <c r="I38" s="6"/>
    </row>
  </sheetData>
  <mergeCells count="4">
    <mergeCell ref="J1:P1"/>
    <mergeCell ref="A14:G14"/>
    <mergeCell ref="J14:P14"/>
    <mergeCell ref="A1:G1"/>
  </mergeCells>
  <conditionalFormatting sqref="G3:G12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6:G25">
    <cfRule type="colorScale" priority="6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12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6:P26">
    <cfRule type="colorScale" priority="7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8"/>
  <sheetViews>
    <sheetView zoomScaleNormal="100" workbookViewId="0">
      <selection sqref="A1:H1"/>
    </sheetView>
  </sheetViews>
  <sheetFormatPr baseColWidth="10" defaultRowHeight="15" x14ac:dyDescent="0.25"/>
  <cols>
    <col min="2" max="2" width="30.42578125" bestFit="1" customWidth="1"/>
    <col min="3" max="3" width="16.140625" customWidth="1"/>
    <col min="4" max="4" width="14" bestFit="1" customWidth="1"/>
    <col min="5" max="5" width="30.7109375" bestFit="1" customWidth="1"/>
    <col min="6" max="6" width="23.42578125" bestFit="1" customWidth="1"/>
    <col min="7" max="7" width="13.85546875" bestFit="1" customWidth="1"/>
    <col min="8" max="8" width="37.28515625" customWidth="1"/>
    <col min="12" max="12" width="30.42578125" bestFit="1" customWidth="1"/>
    <col min="13" max="13" width="15.7109375" customWidth="1"/>
    <col min="14" max="14" width="19" bestFit="1" customWidth="1"/>
    <col min="15" max="15" width="23.42578125" bestFit="1" customWidth="1"/>
    <col min="16" max="16" width="13.85546875" bestFit="1" customWidth="1"/>
    <col min="17" max="17" width="32.140625" bestFit="1" customWidth="1"/>
  </cols>
  <sheetData>
    <row r="1" spans="1:17" ht="18.75" customHeight="1" x14ac:dyDescent="0.3">
      <c r="A1" s="21" t="s">
        <v>236</v>
      </c>
      <c r="B1" s="20"/>
      <c r="C1" s="20"/>
      <c r="D1" s="20"/>
      <c r="E1" s="20"/>
      <c r="F1" s="20"/>
      <c r="G1" s="20"/>
      <c r="H1" s="20"/>
      <c r="K1" s="21" t="s">
        <v>237</v>
      </c>
      <c r="L1" s="20"/>
      <c r="M1" s="20"/>
      <c r="N1" s="20"/>
      <c r="O1" s="20"/>
      <c r="P1" s="20"/>
      <c r="Q1" s="20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10</v>
      </c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</row>
    <row r="3" spans="1:17" ht="18.75" customHeight="1" x14ac:dyDescent="0.3">
      <c r="A3" s="2">
        <v>1</v>
      </c>
      <c r="B3" s="3" t="s">
        <v>64</v>
      </c>
      <c r="C3" s="3" t="s">
        <v>65</v>
      </c>
      <c r="D3" s="3">
        <v>50</v>
      </c>
      <c r="E3" s="3" t="s">
        <v>66</v>
      </c>
      <c r="F3" s="3">
        <v>30</v>
      </c>
      <c r="G3" s="3" t="s">
        <v>15</v>
      </c>
      <c r="H3" s="5">
        <f>(D3/60)*3</f>
        <v>2.5</v>
      </c>
      <c r="K3" s="2">
        <v>1</v>
      </c>
      <c r="L3" s="3" t="s">
        <v>238</v>
      </c>
      <c r="M3" s="3" t="s">
        <v>63</v>
      </c>
      <c r="N3" s="3">
        <v>95</v>
      </c>
      <c r="O3" s="3">
        <v>34</v>
      </c>
      <c r="P3" s="3" t="s">
        <v>15</v>
      </c>
      <c r="Q3" s="8">
        <f t="shared" ref="Q3:Q15" si="0">N3/O3</f>
        <v>2.7941176470588234</v>
      </c>
    </row>
    <row r="4" spans="1:17" ht="18.75" customHeight="1" x14ac:dyDescent="0.3">
      <c r="A4" s="2">
        <f t="shared" ref="A4:A9" si="1">A3+1</f>
        <v>2</v>
      </c>
      <c r="B4" s="3" t="s">
        <v>28</v>
      </c>
      <c r="C4" s="3" t="s">
        <v>29</v>
      </c>
      <c r="D4" s="3">
        <v>91</v>
      </c>
      <c r="E4" s="3">
        <v>114</v>
      </c>
      <c r="F4" s="3">
        <v>38</v>
      </c>
      <c r="G4" s="3" t="s">
        <v>15</v>
      </c>
      <c r="H4" s="5">
        <f>D4/F4</f>
        <v>2.3947368421052633</v>
      </c>
      <c r="K4" s="2">
        <f>K3+1</f>
        <v>2</v>
      </c>
      <c r="L4" s="3" t="s">
        <v>367</v>
      </c>
      <c r="M4" s="3" t="s">
        <v>68</v>
      </c>
      <c r="N4" s="3">
        <v>92</v>
      </c>
      <c r="O4" s="3">
        <v>34</v>
      </c>
      <c r="P4" s="3" t="s">
        <v>18</v>
      </c>
      <c r="Q4" s="8">
        <f t="shared" si="0"/>
        <v>2.7058823529411766</v>
      </c>
    </row>
    <row r="5" spans="1:17" ht="18.75" customHeight="1" x14ac:dyDescent="0.3">
      <c r="A5" s="2">
        <f t="shared" si="1"/>
        <v>3</v>
      </c>
      <c r="B5" s="3" t="s">
        <v>55</v>
      </c>
      <c r="C5" s="3" t="s">
        <v>69</v>
      </c>
      <c r="D5" s="3">
        <v>54</v>
      </c>
      <c r="E5" s="3" t="s">
        <v>70</v>
      </c>
      <c r="F5" s="3">
        <v>34</v>
      </c>
      <c r="G5" s="3" t="s">
        <v>15</v>
      </c>
      <c r="H5" s="5">
        <f>(D5/68)*3</f>
        <v>2.3823529411764706</v>
      </c>
      <c r="K5" s="2">
        <f>K4+1</f>
        <v>3</v>
      </c>
      <c r="L5" s="7" t="s">
        <v>229</v>
      </c>
      <c r="M5" s="7" t="s">
        <v>31</v>
      </c>
      <c r="N5" s="7">
        <v>98</v>
      </c>
      <c r="O5" s="7">
        <v>38</v>
      </c>
      <c r="P5" s="7" t="s">
        <v>44</v>
      </c>
      <c r="Q5" s="8">
        <f t="shared" si="0"/>
        <v>2.5789473684210527</v>
      </c>
    </row>
    <row r="6" spans="1:17" ht="18.75" customHeight="1" x14ac:dyDescent="0.3">
      <c r="A6" s="2">
        <f t="shared" si="1"/>
        <v>4</v>
      </c>
      <c r="B6" s="3" t="s">
        <v>36</v>
      </c>
      <c r="C6" s="3" t="s">
        <v>37</v>
      </c>
      <c r="D6" s="3">
        <v>88</v>
      </c>
      <c r="E6" s="3">
        <v>114</v>
      </c>
      <c r="F6" s="3">
        <v>38</v>
      </c>
      <c r="G6" s="3" t="s">
        <v>38</v>
      </c>
      <c r="H6" s="5">
        <f>D6/F6</f>
        <v>2.3157894736842106</v>
      </c>
      <c r="K6" s="2">
        <f>K5+1</f>
        <v>4</v>
      </c>
      <c r="L6" s="7" t="s">
        <v>79</v>
      </c>
      <c r="M6" s="7" t="s">
        <v>63</v>
      </c>
      <c r="N6" s="7">
        <v>84</v>
      </c>
      <c r="O6" s="7">
        <v>34</v>
      </c>
      <c r="P6" s="7" t="s">
        <v>18</v>
      </c>
      <c r="Q6" s="8">
        <f t="shared" si="0"/>
        <v>2.4705882352941178</v>
      </c>
    </row>
    <row r="7" spans="1:17" ht="18.75" customHeight="1" x14ac:dyDescent="0.3">
      <c r="A7" s="2">
        <f t="shared" si="1"/>
        <v>5</v>
      </c>
      <c r="B7" s="3" t="s">
        <v>42</v>
      </c>
      <c r="C7" s="3" t="s">
        <v>25</v>
      </c>
      <c r="D7" s="3">
        <v>87</v>
      </c>
      <c r="E7" s="3">
        <v>114</v>
      </c>
      <c r="F7" s="3">
        <v>38</v>
      </c>
      <c r="G7" s="3" t="s">
        <v>15</v>
      </c>
      <c r="H7" s="5">
        <f>D7/F7</f>
        <v>2.2894736842105261</v>
      </c>
      <c r="K7" s="2">
        <f>K6</f>
        <v>4</v>
      </c>
      <c r="L7" s="7" t="s">
        <v>28</v>
      </c>
      <c r="M7" s="7" t="s">
        <v>25</v>
      </c>
      <c r="N7" s="7">
        <v>94</v>
      </c>
      <c r="O7" s="7">
        <v>38</v>
      </c>
      <c r="P7" s="7" t="s">
        <v>44</v>
      </c>
      <c r="Q7" s="8">
        <f t="shared" si="0"/>
        <v>2.4736842105263159</v>
      </c>
    </row>
    <row r="8" spans="1:17" ht="18.75" customHeight="1" x14ac:dyDescent="0.3">
      <c r="A8" s="2">
        <f t="shared" si="1"/>
        <v>6</v>
      </c>
      <c r="B8" s="3" t="s">
        <v>28</v>
      </c>
      <c r="C8" s="3" t="s">
        <v>25</v>
      </c>
      <c r="D8" s="3">
        <v>86</v>
      </c>
      <c r="E8" s="3">
        <v>114</v>
      </c>
      <c r="F8" s="3">
        <v>38</v>
      </c>
      <c r="G8" s="3" t="s">
        <v>44</v>
      </c>
      <c r="H8" s="5">
        <f>D8/F8</f>
        <v>2.263157894736842</v>
      </c>
      <c r="K8" s="2">
        <f>K7+2</f>
        <v>6</v>
      </c>
      <c r="L8" s="7" t="s">
        <v>79</v>
      </c>
      <c r="M8" s="7" t="s">
        <v>239</v>
      </c>
      <c r="N8" s="7">
        <v>83</v>
      </c>
      <c r="O8" s="7">
        <v>34</v>
      </c>
      <c r="P8" s="7" t="s">
        <v>18</v>
      </c>
      <c r="Q8" s="8">
        <f t="shared" si="0"/>
        <v>2.4411764705882355</v>
      </c>
    </row>
    <row r="9" spans="1:17" ht="18.75" customHeight="1" x14ac:dyDescent="0.3">
      <c r="A9" s="2">
        <f t="shared" si="1"/>
        <v>7</v>
      </c>
      <c r="B9" s="3" t="s">
        <v>238</v>
      </c>
      <c r="C9" s="3" t="s">
        <v>83</v>
      </c>
      <c r="D9" s="3">
        <v>45</v>
      </c>
      <c r="E9" s="3" t="s">
        <v>66</v>
      </c>
      <c r="F9" s="3">
        <v>30</v>
      </c>
      <c r="G9" s="3" t="s">
        <v>15</v>
      </c>
      <c r="H9" s="5">
        <f>(D9/60)*3</f>
        <v>2.25</v>
      </c>
      <c r="K9" s="2">
        <f>K8+1</f>
        <v>7</v>
      </c>
      <c r="L9" s="7" t="s">
        <v>42</v>
      </c>
      <c r="M9" s="7" t="s">
        <v>25</v>
      </c>
      <c r="N9" s="7">
        <v>90</v>
      </c>
      <c r="O9" s="7">
        <v>38</v>
      </c>
      <c r="P9" s="7" t="s">
        <v>15</v>
      </c>
      <c r="Q9" s="8">
        <f t="shared" si="0"/>
        <v>2.3684210526315788</v>
      </c>
    </row>
    <row r="10" spans="1:17" ht="18.75" customHeight="1" x14ac:dyDescent="0.3">
      <c r="A10" s="2">
        <f>A9</f>
        <v>7</v>
      </c>
      <c r="B10" s="3" t="s">
        <v>79</v>
      </c>
      <c r="C10" s="3" t="s">
        <v>146</v>
      </c>
      <c r="D10" s="3">
        <v>51</v>
      </c>
      <c r="E10" s="3" t="s">
        <v>70</v>
      </c>
      <c r="F10" s="3">
        <v>34</v>
      </c>
      <c r="G10" s="3" t="s">
        <v>15</v>
      </c>
      <c r="H10" s="5">
        <f>(D10/68)*3</f>
        <v>2.25</v>
      </c>
      <c r="K10" s="2">
        <f>K9</f>
        <v>7</v>
      </c>
      <c r="L10" s="7" t="s">
        <v>229</v>
      </c>
      <c r="M10" s="7" t="s">
        <v>32</v>
      </c>
      <c r="N10" s="7">
        <v>90</v>
      </c>
      <c r="O10" s="7">
        <v>38</v>
      </c>
      <c r="P10" s="7" t="s">
        <v>44</v>
      </c>
      <c r="Q10" s="8">
        <f t="shared" si="0"/>
        <v>2.3684210526315788</v>
      </c>
    </row>
    <row r="11" spans="1:17" ht="18.75" customHeight="1" x14ac:dyDescent="0.3">
      <c r="A11" s="2">
        <f>A10</f>
        <v>7</v>
      </c>
      <c r="B11" s="3" t="s">
        <v>79</v>
      </c>
      <c r="C11" s="3" t="s">
        <v>69</v>
      </c>
      <c r="D11" s="3">
        <v>51</v>
      </c>
      <c r="E11" s="3" t="s">
        <v>70</v>
      </c>
      <c r="F11" s="3">
        <v>34</v>
      </c>
      <c r="G11" s="3" t="s">
        <v>44</v>
      </c>
      <c r="H11" s="5">
        <f>(D11/68)*3</f>
        <v>2.25</v>
      </c>
      <c r="K11" s="2">
        <f>K10+2</f>
        <v>9</v>
      </c>
      <c r="L11" s="7" t="s">
        <v>367</v>
      </c>
      <c r="M11" s="7" t="s">
        <v>72</v>
      </c>
      <c r="N11" s="7">
        <v>80</v>
      </c>
      <c r="O11" s="7">
        <v>34</v>
      </c>
      <c r="P11" s="7" t="s">
        <v>18</v>
      </c>
      <c r="Q11" s="8">
        <f t="shared" si="0"/>
        <v>2.3529411764705883</v>
      </c>
    </row>
    <row r="12" spans="1:17" ht="18.75" customHeight="1" x14ac:dyDescent="0.3">
      <c r="A12" s="2">
        <f>A11+3</f>
        <v>10</v>
      </c>
      <c r="B12" s="3" t="s">
        <v>42</v>
      </c>
      <c r="C12" s="3" t="s">
        <v>40</v>
      </c>
      <c r="D12" s="3">
        <v>85</v>
      </c>
      <c r="E12" s="3">
        <v>114</v>
      </c>
      <c r="F12" s="3">
        <v>38</v>
      </c>
      <c r="G12" s="3" t="s">
        <v>15</v>
      </c>
      <c r="H12" s="5">
        <f>D12/F12</f>
        <v>2.236842105263158</v>
      </c>
      <c r="K12" s="2">
        <f>K11+1</f>
        <v>10</v>
      </c>
      <c r="L12" s="7" t="s">
        <v>55</v>
      </c>
      <c r="M12" s="7" t="s">
        <v>32</v>
      </c>
      <c r="N12" s="7">
        <v>89</v>
      </c>
      <c r="O12" s="7">
        <v>38</v>
      </c>
      <c r="P12" s="7" t="s">
        <v>18</v>
      </c>
      <c r="Q12" s="8">
        <f t="shared" si="0"/>
        <v>2.3421052631578947</v>
      </c>
    </row>
    <row r="13" spans="1:17" ht="18.75" customHeight="1" x14ac:dyDescent="0.3">
      <c r="A13" s="6"/>
      <c r="B13" s="6"/>
      <c r="C13" s="6"/>
      <c r="D13" s="6"/>
      <c r="E13" s="6"/>
      <c r="F13" s="6"/>
      <c r="G13" s="6"/>
      <c r="H13" s="6"/>
      <c r="K13" s="2">
        <f>K12</f>
        <v>10</v>
      </c>
      <c r="L13" s="7" t="s">
        <v>55</v>
      </c>
      <c r="M13" s="7" t="s">
        <v>35</v>
      </c>
      <c r="N13" s="7">
        <v>89</v>
      </c>
      <c r="O13" s="7">
        <v>38</v>
      </c>
      <c r="P13" s="7" t="s">
        <v>18</v>
      </c>
      <c r="Q13" s="8">
        <f t="shared" si="0"/>
        <v>2.3421052631578947</v>
      </c>
    </row>
    <row r="14" spans="1:17" ht="18.75" customHeight="1" x14ac:dyDescent="0.3">
      <c r="K14" s="2">
        <f>K13</f>
        <v>10</v>
      </c>
      <c r="L14" s="7" t="s">
        <v>55</v>
      </c>
      <c r="M14" s="7" t="s">
        <v>17</v>
      </c>
      <c r="N14" s="7">
        <v>89</v>
      </c>
      <c r="O14" s="7">
        <v>38</v>
      </c>
      <c r="P14" s="7" t="s">
        <v>18</v>
      </c>
      <c r="Q14" s="8">
        <f t="shared" si="0"/>
        <v>2.3421052631578947</v>
      </c>
    </row>
    <row r="15" spans="1:17" ht="18.75" customHeight="1" x14ac:dyDescent="0.3">
      <c r="K15" s="2">
        <f>K14</f>
        <v>10</v>
      </c>
      <c r="L15" s="7" t="s">
        <v>230</v>
      </c>
      <c r="M15" s="7" t="s">
        <v>29</v>
      </c>
      <c r="N15" s="7">
        <v>89</v>
      </c>
      <c r="O15" s="7">
        <v>38</v>
      </c>
      <c r="P15" s="7" t="s">
        <v>109</v>
      </c>
      <c r="Q15" s="8">
        <f t="shared" si="0"/>
        <v>2.3421052631578947</v>
      </c>
    </row>
    <row r="17" spans="1:17" ht="18.75" customHeight="1" x14ac:dyDescent="0.3">
      <c r="A17" s="21" t="s">
        <v>240</v>
      </c>
      <c r="B17" s="20"/>
      <c r="C17" s="20"/>
      <c r="D17" s="20"/>
      <c r="E17" s="20"/>
      <c r="F17" s="20"/>
      <c r="G17" s="20"/>
      <c r="H17" s="20"/>
      <c r="K17" s="21" t="s">
        <v>241</v>
      </c>
      <c r="L17" s="20"/>
      <c r="M17" s="20"/>
      <c r="N17" s="20"/>
      <c r="O17" s="20"/>
      <c r="P17" s="20"/>
      <c r="Q17" s="20"/>
    </row>
    <row r="18" spans="1:17" ht="18.75" customHeight="1" x14ac:dyDescent="0.3">
      <c r="A18" s="2" t="s">
        <v>4</v>
      </c>
      <c r="B18" s="2" t="s">
        <v>5</v>
      </c>
      <c r="C18" s="2" t="s">
        <v>6</v>
      </c>
      <c r="D18" s="2" t="s">
        <v>7</v>
      </c>
      <c r="E18" s="2" t="s">
        <v>62</v>
      </c>
      <c r="F18" s="2" t="s">
        <v>8</v>
      </c>
      <c r="G18" s="2" t="s">
        <v>9</v>
      </c>
      <c r="H18" s="2" t="s">
        <v>366</v>
      </c>
      <c r="K18" s="2" t="s">
        <v>4</v>
      </c>
      <c r="L18" s="2" t="s">
        <v>5</v>
      </c>
      <c r="M18" s="2" t="s">
        <v>6</v>
      </c>
      <c r="N18" s="2" t="s">
        <v>201</v>
      </c>
      <c r="O18" s="2" t="s">
        <v>8</v>
      </c>
      <c r="P18" s="2" t="s">
        <v>9</v>
      </c>
      <c r="Q18" s="2" t="s">
        <v>202</v>
      </c>
    </row>
    <row r="19" spans="1:17" ht="18.75" customHeight="1" x14ac:dyDescent="0.3">
      <c r="A19" s="2">
        <v>1</v>
      </c>
      <c r="B19" s="3" t="s">
        <v>367</v>
      </c>
      <c r="C19" s="3" t="s">
        <v>40</v>
      </c>
      <c r="D19" s="3">
        <v>102</v>
      </c>
      <c r="E19" s="3">
        <v>114</v>
      </c>
      <c r="F19" s="3">
        <v>38</v>
      </c>
      <c r="G19" s="3" t="s">
        <v>18</v>
      </c>
      <c r="H19" s="5">
        <f>D19/F19</f>
        <v>2.6842105263157894</v>
      </c>
      <c r="K19" s="2">
        <v>1</v>
      </c>
      <c r="L19" s="3" t="s">
        <v>76</v>
      </c>
      <c r="M19" s="3" t="s">
        <v>77</v>
      </c>
      <c r="N19" s="3">
        <v>11</v>
      </c>
      <c r="O19" s="3">
        <v>30</v>
      </c>
      <c r="P19" s="3" t="s">
        <v>18</v>
      </c>
      <c r="Q19" s="8">
        <f t="shared" ref="Q19:Q28" si="2">N19/O19</f>
        <v>0.36666666666666664</v>
      </c>
    </row>
    <row r="20" spans="1:17" ht="18.75" customHeight="1" x14ac:dyDescent="0.3">
      <c r="A20" s="2">
        <f>A19+1</f>
        <v>2</v>
      </c>
      <c r="B20" s="3" t="s">
        <v>55</v>
      </c>
      <c r="C20" s="3" t="s">
        <v>85</v>
      </c>
      <c r="D20" s="3">
        <v>58</v>
      </c>
      <c r="E20" s="3" t="s">
        <v>70</v>
      </c>
      <c r="F20" s="3">
        <v>34</v>
      </c>
      <c r="G20" s="3" t="s">
        <v>18</v>
      </c>
      <c r="H20" s="5">
        <f>(D20/68)*3</f>
        <v>2.5588235294117645</v>
      </c>
      <c r="K20" s="2">
        <f>K19+1</f>
        <v>2</v>
      </c>
      <c r="L20" s="3" t="s">
        <v>79</v>
      </c>
      <c r="M20" s="3" t="s">
        <v>80</v>
      </c>
      <c r="N20" s="3">
        <v>12</v>
      </c>
      <c r="O20" s="3">
        <v>30</v>
      </c>
      <c r="P20" s="3" t="s">
        <v>44</v>
      </c>
      <c r="Q20" s="8">
        <f t="shared" si="2"/>
        <v>0.4</v>
      </c>
    </row>
    <row r="21" spans="1:17" ht="18.75" customHeight="1" x14ac:dyDescent="0.3">
      <c r="A21" s="2">
        <f>A20+1</f>
        <v>3</v>
      </c>
      <c r="B21" s="3" t="s">
        <v>55</v>
      </c>
      <c r="C21" s="3" t="s">
        <v>56</v>
      </c>
      <c r="D21" s="3">
        <v>97</v>
      </c>
      <c r="E21" s="3">
        <v>114</v>
      </c>
      <c r="F21" s="3">
        <v>38</v>
      </c>
      <c r="G21" s="3" t="s">
        <v>18</v>
      </c>
      <c r="H21" s="5">
        <f>D21/F21</f>
        <v>2.5526315789473686</v>
      </c>
      <c r="K21" s="2">
        <f>K20+1</f>
        <v>3</v>
      </c>
      <c r="L21" s="3" t="s">
        <v>79</v>
      </c>
      <c r="M21" s="3" t="s">
        <v>81</v>
      </c>
      <c r="N21" s="3">
        <v>15</v>
      </c>
      <c r="O21" s="3">
        <v>34</v>
      </c>
      <c r="P21" s="3" t="s">
        <v>18</v>
      </c>
      <c r="Q21" s="8">
        <f t="shared" si="2"/>
        <v>0.44117647058823528</v>
      </c>
    </row>
    <row r="22" spans="1:17" ht="18.75" customHeight="1" x14ac:dyDescent="0.3">
      <c r="A22" s="2">
        <f>A21</f>
        <v>3</v>
      </c>
      <c r="B22" s="3" t="s">
        <v>367</v>
      </c>
      <c r="C22" s="3" t="s">
        <v>65</v>
      </c>
      <c r="D22" s="3">
        <v>51</v>
      </c>
      <c r="E22" s="3" t="s">
        <v>66</v>
      </c>
      <c r="F22" s="3">
        <v>30</v>
      </c>
      <c r="G22" s="3" t="s">
        <v>18</v>
      </c>
      <c r="H22" s="5">
        <f>(D22/60)*3</f>
        <v>2.5499999999999998</v>
      </c>
      <c r="K22" s="2">
        <f>K21+1</f>
        <v>4</v>
      </c>
      <c r="L22" s="3" t="s">
        <v>79</v>
      </c>
      <c r="M22" s="3" t="s">
        <v>82</v>
      </c>
      <c r="N22" s="3">
        <v>14</v>
      </c>
      <c r="O22" s="3">
        <v>30</v>
      </c>
      <c r="P22" s="3" t="s">
        <v>18</v>
      </c>
      <c r="Q22" s="8">
        <f t="shared" si="2"/>
        <v>0.46666666666666667</v>
      </c>
    </row>
    <row r="23" spans="1:17" ht="18.75" customHeight="1" x14ac:dyDescent="0.3">
      <c r="A23" s="2">
        <f>A22+2</f>
        <v>5</v>
      </c>
      <c r="B23" s="3" t="s">
        <v>367</v>
      </c>
      <c r="C23" s="3" t="s">
        <v>29</v>
      </c>
      <c r="D23" s="3">
        <v>95</v>
      </c>
      <c r="E23" s="3">
        <v>114</v>
      </c>
      <c r="F23" s="3">
        <v>38</v>
      </c>
      <c r="G23" s="3" t="s">
        <v>18</v>
      </c>
      <c r="H23" s="5">
        <f>D23/F23</f>
        <v>2.5</v>
      </c>
      <c r="K23" s="2">
        <f>K22</f>
        <v>4</v>
      </c>
      <c r="L23" s="7" t="s">
        <v>367</v>
      </c>
      <c r="M23" s="3" t="s">
        <v>83</v>
      </c>
      <c r="N23" s="3">
        <v>14</v>
      </c>
      <c r="O23" s="3">
        <v>30</v>
      </c>
      <c r="P23" s="3" t="s">
        <v>18</v>
      </c>
      <c r="Q23" s="8">
        <f t="shared" si="2"/>
        <v>0.46666666666666667</v>
      </c>
    </row>
    <row r="24" spans="1:17" ht="18.75" customHeight="1" x14ac:dyDescent="0.3">
      <c r="A24" s="2">
        <f>A23</f>
        <v>5</v>
      </c>
      <c r="B24" s="3" t="s">
        <v>64</v>
      </c>
      <c r="C24" s="3" t="s">
        <v>65</v>
      </c>
      <c r="D24" s="3">
        <v>50</v>
      </c>
      <c r="E24" s="3" t="s">
        <v>66</v>
      </c>
      <c r="F24" s="3">
        <v>30</v>
      </c>
      <c r="G24" s="3" t="s">
        <v>15</v>
      </c>
      <c r="H24" s="5">
        <f>(D24/60)*3</f>
        <v>2.5</v>
      </c>
      <c r="K24" s="2">
        <f>K23</f>
        <v>4</v>
      </c>
      <c r="L24" s="7" t="s">
        <v>64</v>
      </c>
      <c r="M24" s="3" t="s">
        <v>65</v>
      </c>
      <c r="N24" s="3">
        <v>14</v>
      </c>
      <c r="O24" s="3">
        <v>30</v>
      </c>
      <c r="P24" s="3" t="s">
        <v>15</v>
      </c>
      <c r="Q24" s="8">
        <f t="shared" si="2"/>
        <v>0.46666666666666667</v>
      </c>
    </row>
    <row r="25" spans="1:17" ht="18.75" customHeight="1" x14ac:dyDescent="0.3">
      <c r="A25" s="2">
        <f>A24+2</f>
        <v>7</v>
      </c>
      <c r="B25" s="3" t="s">
        <v>55</v>
      </c>
      <c r="C25" s="3" t="s">
        <v>35</v>
      </c>
      <c r="D25" s="3">
        <v>94</v>
      </c>
      <c r="E25" s="3">
        <v>114</v>
      </c>
      <c r="F25" s="3">
        <v>38</v>
      </c>
      <c r="G25" s="3" t="s">
        <v>18</v>
      </c>
      <c r="H25" s="5">
        <f>D25/F25</f>
        <v>2.4736842105263159</v>
      </c>
      <c r="K25" s="2">
        <f>K24+3</f>
        <v>7</v>
      </c>
      <c r="L25" s="7" t="s">
        <v>367</v>
      </c>
      <c r="M25" s="3" t="s">
        <v>86</v>
      </c>
      <c r="N25" s="3">
        <v>15</v>
      </c>
      <c r="O25" s="3">
        <v>30</v>
      </c>
      <c r="P25" s="3" t="s">
        <v>18</v>
      </c>
      <c r="Q25" s="8">
        <f t="shared" si="2"/>
        <v>0.5</v>
      </c>
    </row>
    <row r="26" spans="1:17" ht="18.75" customHeight="1" x14ac:dyDescent="0.3">
      <c r="A26" s="2">
        <f>A25</f>
        <v>7</v>
      </c>
      <c r="B26" s="3" t="s">
        <v>79</v>
      </c>
      <c r="C26" s="3" t="s">
        <v>154</v>
      </c>
      <c r="D26" s="3">
        <v>56</v>
      </c>
      <c r="E26" s="3" t="s">
        <v>70</v>
      </c>
      <c r="F26" s="3">
        <v>34</v>
      </c>
      <c r="G26" s="3" t="s">
        <v>18</v>
      </c>
      <c r="H26" s="5">
        <f>(D26/68)*3</f>
        <v>2.4705882352941178</v>
      </c>
      <c r="K26" s="2">
        <f>K25</f>
        <v>7</v>
      </c>
      <c r="L26" s="7" t="s">
        <v>42</v>
      </c>
      <c r="M26" s="3" t="s">
        <v>122</v>
      </c>
      <c r="N26" s="3">
        <v>15</v>
      </c>
      <c r="O26" s="3">
        <v>30</v>
      </c>
      <c r="P26" s="3" t="s">
        <v>44</v>
      </c>
      <c r="Q26" s="8">
        <f t="shared" si="2"/>
        <v>0.5</v>
      </c>
    </row>
    <row r="27" spans="1:17" ht="18.75" customHeight="1" x14ac:dyDescent="0.3">
      <c r="A27" s="2">
        <f>A26+2</f>
        <v>9</v>
      </c>
      <c r="B27" s="3" t="s">
        <v>367</v>
      </c>
      <c r="C27" s="3" t="s">
        <v>123</v>
      </c>
      <c r="D27" s="3">
        <v>49</v>
      </c>
      <c r="E27" s="3" t="s">
        <v>66</v>
      </c>
      <c r="F27" s="3">
        <v>30</v>
      </c>
      <c r="G27" s="3" t="s">
        <v>18</v>
      </c>
      <c r="H27" s="5">
        <f>(D27/60)*3</f>
        <v>2.4500000000000002</v>
      </c>
      <c r="K27" s="2">
        <f>K25</f>
        <v>7</v>
      </c>
      <c r="L27" s="7" t="s">
        <v>64</v>
      </c>
      <c r="M27" s="3" t="s">
        <v>121</v>
      </c>
      <c r="N27" s="3">
        <v>15</v>
      </c>
      <c r="O27" s="3">
        <v>30</v>
      </c>
      <c r="P27" s="3" t="s">
        <v>44</v>
      </c>
      <c r="Q27" s="8">
        <f t="shared" si="2"/>
        <v>0.5</v>
      </c>
    </row>
    <row r="28" spans="1:17" ht="18.75" customHeight="1" x14ac:dyDescent="0.3">
      <c r="A28" s="2">
        <f>A27+1</f>
        <v>10</v>
      </c>
      <c r="B28" s="3" t="s">
        <v>367</v>
      </c>
      <c r="C28" s="3" t="s">
        <v>68</v>
      </c>
      <c r="D28" s="3">
        <v>55</v>
      </c>
      <c r="E28" s="3" t="s">
        <v>70</v>
      </c>
      <c r="F28" s="3">
        <v>34</v>
      </c>
      <c r="G28" s="3" t="s">
        <v>18</v>
      </c>
      <c r="H28" s="5">
        <f>(D28/68)*3</f>
        <v>2.4264705882352944</v>
      </c>
      <c r="K28" s="2">
        <f>K26</f>
        <v>7</v>
      </c>
      <c r="L28" s="7" t="s">
        <v>76</v>
      </c>
      <c r="M28" s="3" t="s">
        <v>123</v>
      </c>
      <c r="N28" s="3">
        <v>17</v>
      </c>
      <c r="O28" s="3">
        <v>34</v>
      </c>
      <c r="P28" s="3" t="s">
        <v>124</v>
      </c>
      <c r="Q28" s="8">
        <f t="shared" si="2"/>
        <v>0.5</v>
      </c>
    </row>
  </sheetData>
  <mergeCells count="4">
    <mergeCell ref="A1:H1"/>
    <mergeCell ref="K1:Q1"/>
    <mergeCell ref="K17:Q17"/>
    <mergeCell ref="A17:H17"/>
  </mergeCells>
  <conditionalFormatting sqref="H3:H12"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3 H25:H28"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5">
    <cfRule type="colorScale" priority="6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8">
    <cfRule type="colorScale" priority="9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22"/>
  <sheetViews>
    <sheetView topLeftCell="D1" workbookViewId="0">
      <selection activeCell="H8" sqref="H8"/>
    </sheetView>
  </sheetViews>
  <sheetFormatPr baseColWidth="10" defaultRowHeight="15" x14ac:dyDescent="0.25"/>
  <cols>
    <col min="2" max="2" width="30.42578125" bestFit="1" customWidth="1"/>
    <col min="3" max="3" width="17" customWidth="1"/>
    <col min="4" max="4" width="15" customWidth="1"/>
    <col min="5" max="5" width="30.7109375" bestFit="1" customWidth="1"/>
    <col min="6" max="6" width="22.42578125" bestFit="1" customWidth="1"/>
    <col min="7" max="7" width="17.5703125" customWidth="1"/>
    <col min="8" max="8" width="33.7109375" customWidth="1"/>
    <col min="12" max="12" width="20.85546875" bestFit="1" customWidth="1"/>
    <col min="13" max="13" width="16.85546875" customWidth="1"/>
    <col min="14" max="14" width="19" bestFit="1" customWidth="1"/>
    <col min="15" max="15" width="22.42578125" bestFit="1" customWidth="1"/>
    <col min="16" max="16" width="13.85546875" bestFit="1" customWidth="1"/>
    <col min="17" max="17" width="32.140625" bestFit="1" customWidth="1"/>
  </cols>
  <sheetData>
    <row r="1" spans="1:27" ht="18.75" customHeight="1" x14ac:dyDescent="0.3">
      <c r="A1" s="21" t="s">
        <v>242</v>
      </c>
      <c r="B1" s="20"/>
      <c r="C1" s="20"/>
      <c r="D1" s="20"/>
      <c r="E1" s="20"/>
      <c r="F1" s="20"/>
      <c r="G1" s="20"/>
      <c r="H1" s="20"/>
      <c r="I1" s="13"/>
      <c r="J1" s="13"/>
      <c r="K1" s="21" t="s">
        <v>243</v>
      </c>
      <c r="L1" s="20"/>
      <c r="M1" s="20"/>
      <c r="N1" s="20"/>
      <c r="O1" s="20"/>
      <c r="P1" s="20"/>
      <c r="Q1" s="20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8.75" customHeight="1" x14ac:dyDescent="0.3">
      <c r="A2" s="9" t="s">
        <v>4</v>
      </c>
      <c r="B2" s="9" t="s">
        <v>5</v>
      </c>
      <c r="C2" s="9" t="s">
        <v>6</v>
      </c>
      <c r="D2" s="9" t="s">
        <v>7</v>
      </c>
      <c r="E2" s="9" t="s">
        <v>62</v>
      </c>
      <c r="F2" s="9" t="s">
        <v>8</v>
      </c>
      <c r="G2" s="9" t="s">
        <v>9</v>
      </c>
      <c r="H2" s="9" t="s">
        <v>366</v>
      </c>
      <c r="I2" s="13"/>
      <c r="J2" s="13"/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8.75" customHeight="1" x14ac:dyDescent="0.3">
      <c r="A3" s="9">
        <v>1</v>
      </c>
      <c r="B3" s="7" t="s">
        <v>64</v>
      </c>
      <c r="C3" s="7" t="s">
        <v>65</v>
      </c>
      <c r="D3" s="7">
        <v>50</v>
      </c>
      <c r="E3" s="7" t="s">
        <v>66</v>
      </c>
      <c r="F3" s="7">
        <v>30</v>
      </c>
      <c r="G3" s="7" t="s">
        <v>15</v>
      </c>
      <c r="H3" s="8">
        <f>(D3/60)*3</f>
        <v>2.5</v>
      </c>
      <c r="I3" s="13"/>
      <c r="J3" s="13"/>
      <c r="K3" s="2">
        <v>1</v>
      </c>
      <c r="L3" s="7" t="s">
        <v>64</v>
      </c>
      <c r="M3" s="3" t="s">
        <v>113</v>
      </c>
      <c r="N3" s="3">
        <v>125</v>
      </c>
      <c r="O3" s="7">
        <v>40</v>
      </c>
      <c r="P3" s="7" t="s">
        <v>18</v>
      </c>
      <c r="Q3" s="8">
        <f t="shared" ref="Q3:Q17" si="0">N3/O3</f>
        <v>3.125</v>
      </c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8.75" customHeight="1" x14ac:dyDescent="0.3">
      <c r="A4" s="9">
        <f t="shared" ref="A4:A10" si="1">A3+1</f>
        <v>2</v>
      </c>
      <c r="B4" s="7" t="s">
        <v>28</v>
      </c>
      <c r="C4" s="7" t="s">
        <v>29</v>
      </c>
      <c r="D4" s="7">
        <v>91</v>
      </c>
      <c r="E4" s="7">
        <v>114</v>
      </c>
      <c r="F4" s="7">
        <v>38</v>
      </c>
      <c r="G4" s="7" t="s">
        <v>15</v>
      </c>
      <c r="H4" s="8">
        <f>D4/F4</f>
        <v>2.3947368421052633</v>
      </c>
      <c r="I4" s="13"/>
      <c r="J4" s="13"/>
      <c r="K4" s="2">
        <f>K3+1</f>
        <v>2</v>
      </c>
      <c r="L4" s="7" t="s">
        <v>79</v>
      </c>
      <c r="M4" s="3" t="s">
        <v>114</v>
      </c>
      <c r="N4" s="3">
        <v>118</v>
      </c>
      <c r="O4" s="7">
        <v>38</v>
      </c>
      <c r="P4" s="3" t="s">
        <v>15</v>
      </c>
      <c r="Q4" s="8">
        <f t="shared" si="0"/>
        <v>3.1052631578947367</v>
      </c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18.75" customHeight="1" x14ac:dyDescent="0.3">
      <c r="A5" s="9">
        <f t="shared" si="1"/>
        <v>3</v>
      </c>
      <c r="B5" s="7" t="s">
        <v>55</v>
      </c>
      <c r="C5" s="7" t="s">
        <v>69</v>
      </c>
      <c r="D5" s="7">
        <v>54</v>
      </c>
      <c r="E5" s="7" t="s">
        <v>70</v>
      </c>
      <c r="F5" s="7">
        <v>34</v>
      </c>
      <c r="G5" s="7" t="s">
        <v>15</v>
      </c>
      <c r="H5" s="8">
        <f>(D5/68)*3</f>
        <v>2.3823529411764706</v>
      </c>
      <c r="I5" s="13"/>
      <c r="J5" s="13"/>
      <c r="K5" s="2">
        <f>K4+1</f>
        <v>3</v>
      </c>
      <c r="L5" s="7" t="s">
        <v>79</v>
      </c>
      <c r="M5" s="7" t="s">
        <v>110</v>
      </c>
      <c r="N5" s="7">
        <v>107</v>
      </c>
      <c r="O5" s="7">
        <v>38</v>
      </c>
      <c r="P5" s="7" t="s">
        <v>18</v>
      </c>
      <c r="Q5" s="8">
        <f t="shared" si="0"/>
        <v>2.8157894736842106</v>
      </c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18.75" customHeight="1" x14ac:dyDescent="0.3">
      <c r="A6" s="9">
        <f t="shared" si="1"/>
        <v>4</v>
      </c>
      <c r="B6" s="7" t="s">
        <v>55</v>
      </c>
      <c r="C6" s="7" t="s">
        <v>110</v>
      </c>
      <c r="D6" s="7">
        <v>59</v>
      </c>
      <c r="E6" s="7" t="s">
        <v>111</v>
      </c>
      <c r="F6" s="7">
        <v>38</v>
      </c>
      <c r="G6" s="7" t="s">
        <v>15</v>
      </c>
      <c r="H6" s="8">
        <f>(D6/76)*3</f>
        <v>2.3289473684210527</v>
      </c>
      <c r="I6" s="13"/>
      <c r="J6" s="13"/>
      <c r="K6" s="2">
        <f>K5</f>
        <v>3</v>
      </c>
      <c r="L6" s="7" t="s">
        <v>55</v>
      </c>
      <c r="M6" s="7" t="s">
        <v>110</v>
      </c>
      <c r="N6" s="7">
        <v>107</v>
      </c>
      <c r="O6" s="7">
        <v>38</v>
      </c>
      <c r="P6" s="7" t="s">
        <v>15</v>
      </c>
      <c r="Q6" s="8">
        <f t="shared" si="0"/>
        <v>2.8157894736842106</v>
      </c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18.75" customHeight="1" x14ac:dyDescent="0.3">
      <c r="A7" s="9">
        <f t="shared" si="1"/>
        <v>5</v>
      </c>
      <c r="B7" s="7" t="s">
        <v>36</v>
      </c>
      <c r="C7" s="7" t="s">
        <v>37</v>
      </c>
      <c r="D7" s="7">
        <v>88</v>
      </c>
      <c r="E7" s="7">
        <v>114</v>
      </c>
      <c r="F7" s="7">
        <v>38</v>
      </c>
      <c r="G7" s="7" t="s">
        <v>38</v>
      </c>
      <c r="H7" s="8">
        <f>D7/F7</f>
        <v>2.3157894736842106</v>
      </c>
      <c r="I7" s="13"/>
      <c r="J7" s="13"/>
      <c r="K7" s="2">
        <f>K6+2</f>
        <v>5</v>
      </c>
      <c r="L7" s="3" t="s">
        <v>238</v>
      </c>
      <c r="M7" s="3" t="s">
        <v>63</v>
      </c>
      <c r="N7" s="3">
        <v>95</v>
      </c>
      <c r="O7" s="3">
        <v>34</v>
      </c>
      <c r="P7" s="3" t="s">
        <v>15</v>
      </c>
      <c r="Q7" s="8">
        <f t="shared" si="0"/>
        <v>2.7941176470588234</v>
      </c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8.75" customHeight="1" x14ac:dyDescent="0.3">
      <c r="A8" s="9">
        <f t="shared" si="1"/>
        <v>6</v>
      </c>
      <c r="B8" s="7" t="s">
        <v>42</v>
      </c>
      <c r="C8" s="7" t="s">
        <v>25</v>
      </c>
      <c r="D8" s="7">
        <v>87</v>
      </c>
      <c r="E8" s="7">
        <v>114</v>
      </c>
      <c r="F8" s="7">
        <v>38</v>
      </c>
      <c r="G8" s="7" t="s">
        <v>15</v>
      </c>
      <c r="H8" s="8">
        <f>D8/F8</f>
        <v>2.2894736842105261</v>
      </c>
      <c r="I8" s="13"/>
      <c r="J8" s="13"/>
      <c r="K8" s="2">
        <f>K7+1</f>
        <v>6</v>
      </c>
      <c r="L8" s="3" t="s">
        <v>64</v>
      </c>
      <c r="M8" s="3" t="s">
        <v>176</v>
      </c>
      <c r="N8" s="3">
        <v>104</v>
      </c>
      <c r="O8" s="3">
        <v>38</v>
      </c>
      <c r="P8" s="3" t="s">
        <v>18</v>
      </c>
      <c r="Q8" s="8">
        <f t="shared" si="0"/>
        <v>2.736842105263158</v>
      </c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18.75" customHeight="1" x14ac:dyDescent="0.3">
      <c r="A9" s="9">
        <f t="shared" si="1"/>
        <v>7</v>
      </c>
      <c r="B9" s="7" t="s">
        <v>28</v>
      </c>
      <c r="C9" s="7" t="s">
        <v>25</v>
      </c>
      <c r="D9" s="7">
        <v>86</v>
      </c>
      <c r="E9" s="7">
        <v>114</v>
      </c>
      <c r="F9" s="7">
        <v>38</v>
      </c>
      <c r="G9" s="7" t="s">
        <v>44</v>
      </c>
      <c r="H9" s="8">
        <f>D9/F9</f>
        <v>2.263157894736842</v>
      </c>
      <c r="I9" s="13"/>
      <c r="J9" s="13"/>
      <c r="K9" s="2">
        <f>K10</f>
        <v>7</v>
      </c>
      <c r="L9" s="3" t="s">
        <v>367</v>
      </c>
      <c r="M9" s="3" t="s">
        <v>68</v>
      </c>
      <c r="N9" s="3">
        <v>92</v>
      </c>
      <c r="O9" s="3">
        <v>34</v>
      </c>
      <c r="P9" s="3" t="s">
        <v>18</v>
      </c>
      <c r="Q9" s="8">
        <f t="shared" si="0"/>
        <v>2.7058823529411766</v>
      </c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8.75" customHeight="1" x14ac:dyDescent="0.3">
      <c r="A10" s="9">
        <f t="shared" si="1"/>
        <v>8</v>
      </c>
      <c r="B10" s="7" t="s">
        <v>238</v>
      </c>
      <c r="C10" s="7" t="s">
        <v>83</v>
      </c>
      <c r="D10" s="7">
        <v>45</v>
      </c>
      <c r="E10" s="7" t="s">
        <v>66</v>
      </c>
      <c r="F10" s="7">
        <v>30</v>
      </c>
      <c r="G10" s="7" t="s">
        <v>15</v>
      </c>
      <c r="H10" s="8">
        <f>(D10/60)*3</f>
        <v>2.25</v>
      </c>
      <c r="I10" s="13"/>
      <c r="J10" s="13"/>
      <c r="K10" s="2">
        <f>K8+1</f>
        <v>7</v>
      </c>
      <c r="L10" s="3" t="s">
        <v>367</v>
      </c>
      <c r="M10" s="7" t="s">
        <v>110</v>
      </c>
      <c r="N10" s="7">
        <v>103</v>
      </c>
      <c r="O10" s="7">
        <v>38</v>
      </c>
      <c r="P10" s="7" t="s">
        <v>44</v>
      </c>
      <c r="Q10" s="8">
        <f t="shared" si="0"/>
        <v>2.7105263157894739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8.75" customHeight="1" x14ac:dyDescent="0.3">
      <c r="A11" s="9">
        <f>A10</f>
        <v>8</v>
      </c>
      <c r="B11" s="7" t="s">
        <v>79</v>
      </c>
      <c r="C11" s="7" t="s">
        <v>146</v>
      </c>
      <c r="D11" s="7">
        <v>51</v>
      </c>
      <c r="E11" s="7" t="s">
        <v>70</v>
      </c>
      <c r="F11" s="7">
        <v>34</v>
      </c>
      <c r="G11" s="7" t="s">
        <v>15</v>
      </c>
      <c r="H11" s="8">
        <f>(D11/68)*3</f>
        <v>2.25</v>
      </c>
      <c r="I11" s="13"/>
      <c r="J11" s="13"/>
      <c r="K11" s="2">
        <f>K9+2</f>
        <v>9</v>
      </c>
      <c r="L11" s="3" t="s">
        <v>64</v>
      </c>
      <c r="M11" s="3" t="s">
        <v>165</v>
      </c>
      <c r="N11" s="3">
        <v>108</v>
      </c>
      <c r="O11" s="3">
        <v>40</v>
      </c>
      <c r="P11" s="3" t="s">
        <v>18</v>
      </c>
      <c r="Q11" s="8">
        <f t="shared" si="0"/>
        <v>2.7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8.75" customHeight="1" x14ac:dyDescent="0.3">
      <c r="A12" s="9">
        <f>A11</f>
        <v>8</v>
      </c>
      <c r="B12" s="7" t="s">
        <v>42</v>
      </c>
      <c r="C12" s="7" t="s">
        <v>90</v>
      </c>
      <c r="D12" s="7">
        <v>51</v>
      </c>
      <c r="E12" s="7" t="s">
        <v>70</v>
      </c>
      <c r="F12" s="7">
        <v>34</v>
      </c>
      <c r="G12" s="7" t="s">
        <v>15</v>
      </c>
      <c r="H12" s="8">
        <f>(D12/68)*3</f>
        <v>2.25</v>
      </c>
      <c r="I12" s="13"/>
      <c r="J12" s="13"/>
      <c r="K12" s="2">
        <f>K11+1</f>
        <v>10</v>
      </c>
      <c r="L12" s="3" t="s">
        <v>367</v>
      </c>
      <c r="M12" s="3" t="s">
        <v>114</v>
      </c>
      <c r="N12" s="3">
        <v>100</v>
      </c>
      <c r="O12" s="7">
        <v>38</v>
      </c>
      <c r="P12" s="3" t="s">
        <v>18</v>
      </c>
      <c r="Q12" s="8">
        <f t="shared" si="0"/>
        <v>2.6315789473684212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8.75" customHeight="1" x14ac:dyDescent="0.3">
      <c r="A13" s="9">
        <f>A11</f>
        <v>8</v>
      </c>
      <c r="B13" s="7" t="s">
        <v>79</v>
      </c>
      <c r="C13" s="7" t="s">
        <v>114</v>
      </c>
      <c r="D13" s="7">
        <v>57</v>
      </c>
      <c r="E13" s="7" t="s">
        <v>111</v>
      </c>
      <c r="F13" s="7">
        <v>38</v>
      </c>
      <c r="G13" s="7" t="s">
        <v>15</v>
      </c>
      <c r="H13" s="8">
        <f>(D13/76)*3</f>
        <v>2.25</v>
      </c>
      <c r="I13" s="13"/>
      <c r="J13" s="13"/>
      <c r="K13" s="2">
        <f>K12+1</f>
        <v>11</v>
      </c>
      <c r="L13" s="3" t="s">
        <v>367</v>
      </c>
      <c r="M13" s="3" t="s">
        <v>175</v>
      </c>
      <c r="N13" s="3">
        <v>89</v>
      </c>
      <c r="O13" s="7">
        <v>34</v>
      </c>
      <c r="P13" s="3" t="s">
        <v>18</v>
      </c>
      <c r="Q13" s="8">
        <f t="shared" si="0"/>
        <v>2.6176470588235294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8.75" customHeight="1" x14ac:dyDescent="0.3">
      <c r="A14" s="9">
        <f>A11</f>
        <v>8</v>
      </c>
      <c r="B14" s="7" t="s">
        <v>79</v>
      </c>
      <c r="C14" s="7" t="s">
        <v>69</v>
      </c>
      <c r="D14" s="7">
        <v>51</v>
      </c>
      <c r="E14" s="7" t="s">
        <v>70</v>
      </c>
      <c r="F14" s="7">
        <v>34</v>
      </c>
      <c r="G14" s="7" t="s">
        <v>44</v>
      </c>
      <c r="H14" s="8">
        <f>(D14/68)*3</f>
        <v>2.25</v>
      </c>
      <c r="I14" s="13"/>
      <c r="J14" s="13"/>
      <c r="K14" s="2">
        <f>K13+1</f>
        <v>12</v>
      </c>
      <c r="L14" s="3" t="s">
        <v>55</v>
      </c>
      <c r="M14" s="3" t="s">
        <v>114</v>
      </c>
      <c r="N14" s="3">
        <v>99</v>
      </c>
      <c r="O14" s="7">
        <v>38</v>
      </c>
      <c r="P14" s="3" t="s">
        <v>44</v>
      </c>
      <c r="Q14" s="8">
        <f t="shared" si="0"/>
        <v>2.6052631578947367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8.75" customHeight="1" x14ac:dyDescent="0.3">
      <c r="A15" s="9">
        <f>A14+5</f>
        <v>13</v>
      </c>
      <c r="B15" s="7" t="s">
        <v>42</v>
      </c>
      <c r="C15" s="7" t="s">
        <v>40</v>
      </c>
      <c r="D15" s="7">
        <v>85</v>
      </c>
      <c r="E15" s="7">
        <v>114</v>
      </c>
      <c r="F15" s="7">
        <v>38</v>
      </c>
      <c r="G15" s="7" t="s">
        <v>15</v>
      </c>
      <c r="H15" s="8">
        <f>D15/F15</f>
        <v>2.236842105263158</v>
      </c>
      <c r="I15" s="13"/>
      <c r="J15" s="13"/>
      <c r="K15" s="2">
        <f>K14+1</f>
        <v>13</v>
      </c>
      <c r="L15" s="3" t="s">
        <v>367</v>
      </c>
      <c r="M15" s="3" t="s">
        <v>99</v>
      </c>
      <c r="N15" s="3">
        <v>88</v>
      </c>
      <c r="O15" s="7">
        <v>34</v>
      </c>
      <c r="P15" s="3" t="s">
        <v>18</v>
      </c>
      <c r="Q15" s="8">
        <f t="shared" si="0"/>
        <v>2.5882352941176472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8.75" customHeight="1" x14ac:dyDescent="0.3">
      <c r="A16" s="9">
        <f>A15+1</f>
        <v>14</v>
      </c>
      <c r="B16" s="3" t="s">
        <v>55</v>
      </c>
      <c r="C16" s="3" t="s">
        <v>26</v>
      </c>
      <c r="D16" s="3">
        <v>84</v>
      </c>
      <c r="E16" s="3">
        <v>114</v>
      </c>
      <c r="F16" s="3">
        <v>38</v>
      </c>
      <c r="G16" s="5" t="s">
        <v>15</v>
      </c>
      <c r="H16" s="8">
        <f>D16/F16</f>
        <v>2.2105263157894739</v>
      </c>
      <c r="I16" s="13"/>
      <c r="J16" s="13"/>
      <c r="K16" s="2">
        <f>K15+1</f>
        <v>14</v>
      </c>
      <c r="L16" s="3" t="s">
        <v>367</v>
      </c>
      <c r="M16" s="3" t="s">
        <v>244</v>
      </c>
      <c r="N16" s="3">
        <v>98</v>
      </c>
      <c r="O16" s="3">
        <v>38</v>
      </c>
      <c r="P16" s="3" t="s">
        <v>18</v>
      </c>
      <c r="Q16" s="8">
        <f t="shared" si="0"/>
        <v>2.5789473684210527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8.75" customHeight="1" x14ac:dyDescent="0.3">
      <c r="A17" s="9">
        <f>A16</f>
        <v>14</v>
      </c>
      <c r="B17" s="3" t="s">
        <v>245</v>
      </c>
      <c r="C17" s="7" t="s">
        <v>175</v>
      </c>
      <c r="D17" s="7">
        <v>50</v>
      </c>
      <c r="E17" s="7" t="s">
        <v>70</v>
      </c>
      <c r="F17" s="7">
        <v>34</v>
      </c>
      <c r="G17" s="7" t="s">
        <v>15</v>
      </c>
      <c r="H17" s="8">
        <f>(D17/68)*3</f>
        <v>2.2058823529411766</v>
      </c>
      <c r="I17" s="13"/>
      <c r="J17" s="13"/>
      <c r="K17" s="2">
        <f>K16</f>
        <v>14</v>
      </c>
      <c r="L17" s="7" t="s">
        <v>229</v>
      </c>
      <c r="M17" s="7" t="s">
        <v>31</v>
      </c>
      <c r="N17" s="7">
        <v>98</v>
      </c>
      <c r="O17" s="7">
        <v>38</v>
      </c>
      <c r="P17" s="7" t="s">
        <v>44</v>
      </c>
      <c r="Q17" s="8">
        <f t="shared" si="0"/>
        <v>2.5789473684210527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8.75" customHeight="1" x14ac:dyDescent="0.25"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8.75" customHeight="1" x14ac:dyDescent="0.3">
      <c r="A19" s="21" t="s">
        <v>246</v>
      </c>
      <c r="B19" s="20"/>
      <c r="C19" s="20"/>
      <c r="D19" s="20"/>
      <c r="E19" s="20"/>
      <c r="F19" s="20"/>
      <c r="G19" s="20"/>
      <c r="H19" s="20"/>
      <c r="I19" s="13"/>
      <c r="J19" s="13"/>
      <c r="K19" s="21" t="s">
        <v>247</v>
      </c>
      <c r="L19" s="20"/>
      <c r="M19" s="20"/>
      <c r="N19" s="20"/>
      <c r="O19" s="20"/>
      <c r="P19" s="20"/>
      <c r="Q19" s="20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8.75" customHeight="1" x14ac:dyDescent="0.3">
      <c r="A20" s="9" t="s">
        <v>4</v>
      </c>
      <c r="B20" s="9" t="s">
        <v>5</v>
      </c>
      <c r="C20" s="9" t="s">
        <v>6</v>
      </c>
      <c r="D20" s="9" t="s">
        <v>7</v>
      </c>
      <c r="E20" s="9" t="s">
        <v>62</v>
      </c>
      <c r="F20" s="9" t="s">
        <v>8</v>
      </c>
      <c r="G20" s="9" t="s">
        <v>9</v>
      </c>
      <c r="H20" s="9" t="s">
        <v>10</v>
      </c>
      <c r="I20" s="13"/>
      <c r="J20" s="13"/>
      <c r="K20" s="2" t="s">
        <v>4</v>
      </c>
      <c r="L20" s="2" t="s">
        <v>5</v>
      </c>
      <c r="M20" s="2" t="s">
        <v>6</v>
      </c>
      <c r="N20" s="2" t="s">
        <v>201</v>
      </c>
      <c r="O20" s="2" t="s">
        <v>8</v>
      </c>
      <c r="P20" s="2" t="s">
        <v>9</v>
      </c>
      <c r="Q20" s="2" t="s">
        <v>202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8.75" customHeight="1" x14ac:dyDescent="0.3">
      <c r="A21" s="9">
        <v>1</v>
      </c>
      <c r="B21" s="7" t="s">
        <v>367</v>
      </c>
      <c r="C21" s="7" t="s">
        <v>40</v>
      </c>
      <c r="D21" s="7">
        <v>102</v>
      </c>
      <c r="E21" s="7">
        <v>114</v>
      </c>
      <c r="F21" s="7">
        <v>38</v>
      </c>
      <c r="G21" s="7" t="s">
        <v>18</v>
      </c>
      <c r="H21" s="8">
        <f>D21/F21</f>
        <v>2.6842105263157894</v>
      </c>
      <c r="I21" s="13"/>
      <c r="J21" s="13"/>
      <c r="K21" s="2">
        <v>1</v>
      </c>
      <c r="L21" s="3" t="s">
        <v>76</v>
      </c>
      <c r="M21" s="3" t="s">
        <v>77</v>
      </c>
      <c r="N21" s="3">
        <v>11</v>
      </c>
      <c r="O21" s="3">
        <v>30</v>
      </c>
      <c r="P21" s="3" t="s">
        <v>18</v>
      </c>
      <c r="Q21" s="8">
        <f t="shared" ref="Q21:Q35" si="2">N21/O21</f>
        <v>0.36666666666666664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8.75" customHeight="1" x14ac:dyDescent="0.3">
      <c r="A22" s="9">
        <f>A21+1</f>
        <v>2</v>
      </c>
      <c r="B22" s="7" t="s">
        <v>55</v>
      </c>
      <c r="C22" s="7" t="s">
        <v>85</v>
      </c>
      <c r="D22" s="7">
        <v>58</v>
      </c>
      <c r="E22" s="7" t="s">
        <v>70</v>
      </c>
      <c r="F22" s="7">
        <v>34</v>
      </c>
      <c r="G22" s="7" t="s">
        <v>18</v>
      </c>
      <c r="H22" s="8">
        <f>(D22/68)*3</f>
        <v>2.5588235294117645</v>
      </c>
      <c r="I22" s="13"/>
      <c r="J22" s="13"/>
      <c r="K22" s="2">
        <f>K21+1</f>
        <v>2</v>
      </c>
      <c r="L22" s="3" t="s">
        <v>79</v>
      </c>
      <c r="M22" s="3" t="s">
        <v>80</v>
      </c>
      <c r="N22" s="3">
        <v>12</v>
      </c>
      <c r="O22" s="3">
        <v>30</v>
      </c>
      <c r="P22" s="3" t="s">
        <v>44</v>
      </c>
      <c r="Q22" s="8">
        <f t="shared" si="2"/>
        <v>0.4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8.75" customHeight="1" x14ac:dyDescent="0.3">
      <c r="A23" s="9">
        <f>A22+1</f>
        <v>3</v>
      </c>
      <c r="B23" s="7" t="s">
        <v>55</v>
      </c>
      <c r="C23" s="7" t="s">
        <v>56</v>
      </c>
      <c r="D23" s="7">
        <v>97</v>
      </c>
      <c r="E23" s="7">
        <v>114</v>
      </c>
      <c r="F23" s="7">
        <v>38</v>
      </c>
      <c r="G23" s="7" t="s">
        <v>18</v>
      </c>
      <c r="H23" s="8">
        <f>D23/F23</f>
        <v>2.5526315789473686</v>
      </c>
      <c r="I23" s="13"/>
      <c r="J23" s="13"/>
      <c r="K23" s="2">
        <f>K22+1</f>
        <v>3</v>
      </c>
      <c r="L23" s="3" t="s">
        <v>79</v>
      </c>
      <c r="M23" s="3" t="s">
        <v>81</v>
      </c>
      <c r="N23" s="3">
        <v>15</v>
      </c>
      <c r="O23" s="3">
        <v>34</v>
      </c>
      <c r="P23" s="3" t="s">
        <v>18</v>
      </c>
      <c r="Q23" s="8">
        <f t="shared" si="2"/>
        <v>0.44117647058823528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8.75" customHeight="1" x14ac:dyDescent="0.3">
      <c r="A24" s="9">
        <f>A23</f>
        <v>3</v>
      </c>
      <c r="B24" s="7" t="s">
        <v>367</v>
      </c>
      <c r="C24" s="7" t="s">
        <v>65</v>
      </c>
      <c r="D24" s="7">
        <v>51</v>
      </c>
      <c r="E24" s="7" t="s">
        <v>66</v>
      </c>
      <c r="F24" s="7">
        <v>30</v>
      </c>
      <c r="G24" s="7" t="s">
        <v>18</v>
      </c>
      <c r="H24" s="8">
        <f>(D24/60)*3</f>
        <v>2.5499999999999998</v>
      </c>
      <c r="I24" s="13"/>
      <c r="J24" s="13"/>
      <c r="K24" s="2">
        <f>K23+1</f>
        <v>4</v>
      </c>
      <c r="L24" s="3" t="s">
        <v>79</v>
      </c>
      <c r="M24" s="3" t="s">
        <v>82</v>
      </c>
      <c r="N24" s="3">
        <v>14</v>
      </c>
      <c r="O24" s="3">
        <v>30</v>
      </c>
      <c r="P24" s="3" t="s">
        <v>18</v>
      </c>
      <c r="Q24" s="8">
        <f t="shared" si="2"/>
        <v>0.46666666666666667</v>
      </c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8.75" customHeight="1" x14ac:dyDescent="0.3">
      <c r="A25" s="9">
        <f>A24+2</f>
        <v>5</v>
      </c>
      <c r="B25" s="7" t="s">
        <v>367</v>
      </c>
      <c r="C25" s="7" t="s">
        <v>29</v>
      </c>
      <c r="D25" s="7">
        <v>95</v>
      </c>
      <c r="E25" s="7">
        <v>114</v>
      </c>
      <c r="F25" s="7">
        <v>38</v>
      </c>
      <c r="G25" s="7" t="s">
        <v>18</v>
      </c>
      <c r="H25" s="8">
        <f>D25/F25</f>
        <v>2.5</v>
      </c>
      <c r="I25" s="13"/>
      <c r="J25" s="13"/>
      <c r="K25" s="2">
        <f>K24</f>
        <v>4</v>
      </c>
      <c r="L25" s="7" t="s">
        <v>367</v>
      </c>
      <c r="M25" s="3" t="s">
        <v>83</v>
      </c>
      <c r="N25" s="3">
        <v>14</v>
      </c>
      <c r="O25" s="3">
        <v>30</v>
      </c>
      <c r="P25" s="3" t="s">
        <v>18</v>
      </c>
      <c r="Q25" s="8">
        <f t="shared" si="2"/>
        <v>0.46666666666666667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8.75" customHeight="1" x14ac:dyDescent="0.3">
      <c r="A26" s="9">
        <f>A25</f>
        <v>5</v>
      </c>
      <c r="B26" s="7" t="s">
        <v>64</v>
      </c>
      <c r="C26" s="7" t="s">
        <v>65</v>
      </c>
      <c r="D26" s="7">
        <v>50</v>
      </c>
      <c r="E26" s="7" t="s">
        <v>66</v>
      </c>
      <c r="F26" s="7">
        <v>30</v>
      </c>
      <c r="G26" s="7" t="s">
        <v>15</v>
      </c>
      <c r="H26" s="8">
        <f>(D26/60)*3</f>
        <v>2.5</v>
      </c>
      <c r="I26" s="13"/>
      <c r="J26" s="13"/>
      <c r="K26" s="2">
        <f>K25</f>
        <v>4</v>
      </c>
      <c r="L26" s="7" t="s">
        <v>64</v>
      </c>
      <c r="M26" s="3" t="s">
        <v>65</v>
      </c>
      <c r="N26" s="3">
        <v>14</v>
      </c>
      <c r="O26" s="3">
        <v>30</v>
      </c>
      <c r="P26" s="3" t="s">
        <v>15</v>
      </c>
      <c r="Q26" s="8">
        <f t="shared" si="2"/>
        <v>0.46666666666666667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8.75" customHeight="1" x14ac:dyDescent="0.3">
      <c r="A27" s="9">
        <f>A26+2</f>
        <v>7</v>
      </c>
      <c r="B27" s="7" t="s">
        <v>64</v>
      </c>
      <c r="C27" s="7" t="s">
        <v>176</v>
      </c>
      <c r="D27" s="7">
        <v>63</v>
      </c>
      <c r="E27" s="7" t="s">
        <v>111</v>
      </c>
      <c r="F27" s="7">
        <v>38</v>
      </c>
      <c r="G27" s="7" t="s">
        <v>18</v>
      </c>
      <c r="H27" s="8">
        <f>(D27/76)*3</f>
        <v>2.486842105263158</v>
      </c>
      <c r="I27" s="13"/>
      <c r="J27" s="13"/>
      <c r="K27" s="2">
        <f>K26+3</f>
        <v>7</v>
      </c>
      <c r="L27" s="7" t="s">
        <v>367</v>
      </c>
      <c r="M27" s="3" t="s">
        <v>86</v>
      </c>
      <c r="N27" s="3">
        <v>15</v>
      </c>
      <c r="O27" s="3">
        <v>30</v>
      </c>
      <c r="P27" s="3" t="s">
        <v>18</v>
      </c>
      <c r="Q27" s="8">
        <f t="shared" si="2"/>
        <v>0.5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8.75" customHeight="1" x14ac:dyDescent="0.3">
      <c r="A28" s="9">
        <f>A27+1</f>
        <v>8</v>
      </c>
      <c r="B28" s="7" t="s">
        <v>55</v>
      </c>
      <c r="C28" s="7" t="s">
        <v>35</v>
      </c>
      <c r="D28" s="7">
        <v>94</v>
      </c>
      <c r="E28" s="7">
        <v>114</v>
      </c>
      <c r="F28" s="7">
        <v>38</v>
      </c>
      <c r="G28" s="7" t="s">
        <v>18</v>
      </c>
      <c r="H28" s="8">
        <f>D28/F28</f>
        <v>2.4736842105263159</v>
      </c>
      <c r="I28" s="13"/>
      <c r="J28" s="13"/>
      <c r="K28" s="2">
        <f>K27</f>
        <v>7</v>
      </c>
      <c r="L28" s="7" t="s">
        <v>42</v>
      </c>
      <c r="M28" s="3" t="s">
        <v>248</v>
      </c>
      <c r="N28" s="3">
        <v>15</v>
      </c>
      <c r="O28" s="3">
        <v>30</v>
      </c>
      <c r="P28" s="3" t="s">
        <v>44</v>
      </c>
      <c r="Q28" s="8">
        <f t="shared" si="2"/>
        <v>0.5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8.75" customHeight="1" x14ac:dyDescent="0.3">
      <c r="A29" s="9">
        <f>A28</f>
        <v>8</v>
      </c>
      <c r="B29" s="7" t="s">
        <v>79</v>
      </c>
      <c r="C29" s="7" t="s">
        <v>154</v>
      </c>
      <c r="D29" s="7">
        <v>56</v>
      </c>
      <c r="E29" s="7" t="s">
        <v>70</v>
      </c>
      <c r="F29" s="7">
        <v>34</v>
      </c>
      <c r="G29" s="7" t="s">
        <v>18</v>
      </c>
      <c r="H29" s="8">
        <f>(D29/68)*3</f>
        <v>2.4705882352941178</v>
      </c>
      <c r="I29" s="13"/>
      <c r="J29" s="13"/>
      <c r="K29" s="2">
        <f>K27</f>
        <v>7</v>
      </c>
      <c r="L29" s="7" t="s">
        <v>64</v>
      </c>
      <c r="M29" s="3" t="s">
        <v>121</v>
      </c>
      <c r="N29" s="3">
        <v>15</v>
      </c>
      <c r="O29" s="3">
        <v>30</v>
      </c>
      <c r="P29" s="3" t="s">
        <v>44</v>
      </c>
      <c r="Q29" s="8">
        <f t="shared" si="2"/>
        <v>0.5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8.75" customHeight="1" x14ac:dyDescent="0.3">
      <c r="A30" s="9">
        <f>A29+2</f>
        <v>10</v>
      </c>
      <c r="B30" s="7" t="s">
        <v>367</v>
      </c>
      <c r="C30" s="7" t="s">
        <v>123</v>
      </c>
      <c r="D30" s="7">
        <v>49</v>
      </c>
      <c r="E30" s="7" t="s">
        <v>66</v>
      </c>
      <c r="F30" s="7">
        <v>30</v>
      </c>
      <c r="G30" s="7" t="s">
        <v>18</v>
      </c>
      <c r="H30" s="8">
        <f>(D30/60)*3</f>
        <v>2.4500000000000002</v>
      </c>
      <c r="I30" s="13"/>
      <c r="J30" s="13"/>
      <c r="K30" s="2">
        <f>K28</f>
        <v>7</v>
      </c>
      <c r="L30" s="7" t="s">
        <v>76</v>
      </c>
      <c r="M30" s="3" t="s">
        <v>123</v>
      </c>
      <c r="N30" s="3">
        <v>17</v>
      </c>
      <c r="O30" s="3">
        <v>34</v>
      </c>
      <c r="P30" s="3" t="s">
        <v>124</v>
      </c>
      <c r="Q30" s="8">
        <f t="shared" si="2"/>
        <v>0.5</v>
      </c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8.75" customHeight="1" x14ac:dyDescent="0.3">
      <c r="A31" s="9">
        <f>A30</f>
        <v>10</v>
      </c>
      <c r="B31" s="7" t="s">
        <v>367</v>
      </c>
      <c r="C31" s="7" t="s">
        <v>114</v>
      </c>
      <c r="D31" s="7">
        <v>62</v>
      </c>
      <c r="E31" s="7" t="s">
        <v>111</v>
      </c>
      <c r="F31" s="7">
        <v>38</v>
      </c>
      <c r="G31" s="7" t="s">
        <v>18</v>
      </c>
      <c r="H31" s="8">
        <f>(D31/76)*3</f>
        <v>2.4473684210526314</v>
      </c>
      <c r="I31" s="13"/>
      <c r="J31" s="13"/>
      <c r="K31" s="2">
        <f>K32</f>
        <v>11</v>
      </c>
      <c r="L31" s="7" t="s">
        <v>367</v>
      </c>
      <c r="M31" s="7" t="s">
        <v>21</v>
      </c>
      <c r="N31" s="7">
        <v>20</v>
      </c>
      <c r="O31" s="7">
        <v>38</v>
      </c>
      <c r="P31" s="7" t="s">
        <v>18</v>
      </c>
      <c r="Q31" s="8">
        <f t="shared" si="2"/>
        <v>0.52631578947368418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8.75" customHeight="1" x14ac:dyDescent="0.3">
      <c r="A32" s="9">
        <f>A31+2</f>
        <v>12</v>
      </c>
      <c r="B32" s="7" t="s">
        <v>64</v>
      </c>
      <c r="C32" s="7" t="s">
        <v>113</v>
      </c>
      <c r="D32" s="7">
        <v>65</v>
      </c>
      <c r="E32" s="7" t="s">
        <v>249</v>
      </c>
      <c r="F32" s="7">
        <v>40</v>
      </c>
      <c r="G32" s="7" t="s">
        <v>18</v>
      </c>
      <c r="H32" s="8">
        <f>(D32/80)*3</f>
        <v>2.4375</v>
      </c>
      <c r="I32" s="13"/>
      <c r="J32" s="13"/>
      <c r="K32" s="2">
        <f>K33</f>
        <v>11</v>
      </c>
      <c r="L32" s="7" t="s">
        <v>367</v>
      </c>
      <c r="M32" s="7" t="s">
        <v>30</v>
      </c>
      <c r="N32" s="7">
        <v>20</v>
      </c>
      <c r="O32" s="7">
        <v>38</v>
      </c>
      <c r="P32" s="7" t="s">
        <v>18</v>
      </c>
      <c r="Q32" s="8">
        <f t="shared" si="2"/>
        <v>0.52631578947368418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8.75" customHeight="1" x14ac:dyDescent="0.3">
      <c r="A33" s="9">
        <f>A32+1</f>
        <v>13</v>
      </c>
      <c r="B33" s="7" t="s">
        <v>367</v>
      </c>
      <c r="C33" s="7" t="s">
        <v>68</v>
      </c>
      <c r="D33" s="7">
        <v>55</v>
      </c>
      <c r="E33" s="7" t="s">
        <v>70</v>
      </c>
      <c r="F33" s="7">
        <v>34</v>
      </c>
      <c r="G33" s="7" t="s">
        <v>18</v>
      </c>
      <c r="H33" s="8">
        <f>(D33/68)*3</f>
        <v>2.4264705882352944</v>
      </c>
      <c r="I33" s="13"/>
      <c r="J33" s="13"/>
      <c r="K33" s="2">
        <f>K30+4</f>
        <v>11</v>
      </c>
      <c r="L33" s="7" t="s">
        <v>245</v>
      </c>
      <c r="M33" s="3" t="s">
        <v>69</v>
      </c>
      <c r="N33" s="3">
        <v>18</v>
      </c>
      <c r="O33" s="3">
        <v>34</v>
      </c>
      <c r="P33" s="3" t="s">
        <v>18</v>
      </c>
      <c r="Q33" s="8">
        <f t="shared" si="2"/>
        <v>0.52941176470588236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8.75" customHeight="1" x14ac:dyDescent="0.3">
      <c r="A34" s="9">
        <f>A33</f>
        <v>13</v>
      </c>
      <c r="B34" s="7" t="s">
        <v>367</v>
      </c>
      <c r="C34" s="7" t="s">
        <v>90</v>
      </c>
      <c r="D34" s="7">
        <v>55</v>
      </c>
      <c r="E34" s="7" t="s">
        <v>70</v>
      </c>
      <c r="F34" s="7">
        <v>34</v>
      </c>
      <c r="G34" s="7" t="s">
        <v>18</v>
      </c>
      <c r="H34" s="8">
        <f>(D34/68)*3</f>
        <v>2.4264705882352944</v>
      </c>
      <c r="I34" s="13"/>
      <c r="J34" s="13"/>
      <c r="K34" s="2">
        <f>K31</f>
        <v>11</v>
      </c>
      <c r="L34" s="7" t="s">
        <v>250</v>
      </c>
      <c r="M34" s="7" t="s">
        <v>78</v>
      </c>
      <c r="N34" s="7">
        <v>16</v>
      </c>
      <c r="O34" s="7">
        <v>30</v>
      </c>
      <c r="P34" s="7" t="s">
        <v>15</v>
      </c>
      <c r="Q34" s="8">
        <f t="shared" si="2"/>
        <v>0.53333333333333333</v>
      </c>
      <c r="R34" s="13"/>
      <c r="S34" s="13"/>
      <c r="T34" s="13"/>
      <c r="U34" s="13"/>
    </row>
    <row r="35" spans="1:27" ht="18.75" customHeight="1" x14ac:dyDescent="0.3">
      <c r="A35" s="9">
        <f>A33+2</f>
        <v>15</v>
      </c>
      <c r="B35" s="7" t="s">
        <v>79</v>
      </c>
      <c r="C35" s="7" t="s">
        <v>57</v>
      </c>
      <c r="D35" s="7">
        <v>82</v>
      </c>
      <c r="E35" s="7">
        <v>102</v>
      </c>
      <c r="F35" s="7">
        <v>34</v>
      </c>
      <c r="G35" s="7" t="s">
        <v>18</v>
      </c>
      <c r="H35" s="8">
        <f>D35/F35</f>
        <v>2.4117647058823528</v>
      </c>
      <c r="I35" s="13"/>
      <c r="J35" s="13"/>
      <c r="K35" s="2">
        <f>K31</f>
        <v>11</v>
      </c>
      <c r="L35" s="7" t="s">
        <v>230</v>
      </c>
      <c r="M35" s="7" t="s">
        <v>142</v>
      </c>
      <c r="N35" s="7">
        <v>16</v>
      </c>
      <c r="O35" s="7">
        <v>30</v>
      </c>
      <c r="P35" s="7" t="s">
        <v>44</v>
      </c>
      <c r="Q35" s="8">
        <f t="shared" si="2"/>
        <v>0.53333333333333333</v>
      </c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8.7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8.7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8.75" customHeight="1" x14ac:dyDescent="0.25">
      <c r="I38" s="13"/>
      <c r="J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8.75" customHeight="1" x14ac:dyDescent="0.25">
      <c r="I39" s="13"/>
      <c r="J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8.75" customHeight="1" x14ac:dyDescent="0.25">
      <c r="I40" s="13"/>
      <c r="J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8.75" customHeight="1" x14ac:dyDescent="0.25">
      <c r="I41" s="13"/>
      <c r="J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8.75" customHeight="1" x14ac:dyDescent="0.25">
      <c r="I42" s="13"/>
      <c r="J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8.75" customHeight="1" x14ac:dyDescent="0.25">
      <c r="I43" s="13"/>
      <c r="J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8.75" customHeight="1" x14ac:dyDescent="0.25">
      <c r="I44" s="13"/>
      <c r="J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8.75" customHeight="1" x14ac:dyDescent="0.25">
      <c r="I45" s="13"/>
      <c r="J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8.75" customHeight="1" x14ac:dyDescent="0.25">
      <c r="I46" s="13"/>
      <c r="J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8.75" customHeight="1" x14ac:dyDescent="0.25">
      <c r="I47" s="13"/>
      <c r="J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8.75" customHeight="1" x14ac:dyDescent="0.25">
      <c r="I48" s="13"/>
      <c r="J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8.75" customHeight="1" x14ac:dyDescent="0.25">
      <c r="I49" s="13"/>
      <c r="J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8.75" customHeight="1" x14ac:dyDescent="0.25">
      <c r="I50" s="13"/>
      <c r="J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8.75" customHeight="1" x14ac:dyDescent="0.25">
      <c r="I51" s="13"/>
      <c r="J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8.75" customHeight="1" x14ac:dyDescent="0.25">
      <c r="I52" s="13"/>
      <c r="J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8.75" customHeight="1" x14ac:dyDescent="0.25">
      <c r="I53" s="13"/>
      <c r="J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8.75" customHeight="1" x14ac:dyDescent="0.25">
      <c r="I54" s="13"/>
      <c r="J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8.7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8.7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8.7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8.7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8.7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8.7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8.7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8.7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8.75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8.75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8.7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8.75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8.7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8.7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8.7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8.7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8.7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8.7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8.7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8.7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8.7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8.7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8.7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8.7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8.7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8.7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8.7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8.7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8.7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8.7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8.7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8.7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8.75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8.7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8.75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8.75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8.75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8.7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8.7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8.7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8.7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8.7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8.7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8.7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8.7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8.7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8.7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8.7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8.7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8.7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8.7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8.7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8.7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8.7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8.7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8.7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8.7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8.7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8.7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8.7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8.7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8.7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8.7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8.7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8.7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8.7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8.7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8.7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8.7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8.7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8.7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8.7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8.7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8.7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8.7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8.7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8.7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8.7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8.7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8.7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8.7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8.7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8.7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8.7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8.7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8.7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8.7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8.7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8.7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8.7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8.7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8.7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8.7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8.7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8.7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8.7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8.7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8.7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8.7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8.7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8.7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8.7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8.7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8.7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8.7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8.7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8.7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8.7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8.7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8.7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8.7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8.7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8.7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8.7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8.7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8.7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8.7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8.7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8.7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8.7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8.7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8.7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8.7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8.7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8.7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8.7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8.7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8.7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8.7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8.7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8.7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8.7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8.7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8.7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8.7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8.7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8.7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8.7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8.7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8.7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8.7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8.7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8.7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8.7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8.7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8.7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8.7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8.7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8.7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8.7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8.7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8.7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8.7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8.7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8.7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8.7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8.7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8.7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8.7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8.7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8.7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8.7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8.7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8.7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8.7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8.7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8.7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8.7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</sheetData>
  <mergeCells count="4">
    <mergeCell ref="K19:Q19"/>
    <mergeCell ref="A19:H19"/>
    <mergeCell ref="K1:Q1"/>
    <mergeCell ref="A1:H1"/>
  </mergeCells>
  <conditionalFormatting sqref="G16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15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1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1:H25 H29:H35">
    <cfRule type="colorScale" priority="6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1:H3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6:H2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7"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1:Q35">
    <cfRule type="colorScale" priority="1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1:Q32 Q34:Q35">
    <cfRule type="colorScale" priority="1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200"/>
  <sheetViews>
    <sheetView topLeftCell="F1" workbookViewId="0">
      <selection activeCell="L18" sqref="L18"/>
    </sheetView>
  </sheetViews>
  <sheetFormatPr baseColWidth="10" defaultRowHeight="15" x14ac:dyDescent="0.25"/>
  <cols>
    <col min="2" max="2" width="27.5703125" bestFit="1" customWidth="1"/>
    <col min="3" max="3" width="15.28515625" customWidth="1"/>
    <col min="4" max="4" width="14" bestFit="1" customWidth="1"/>
    <col min="5" max="5" width="22.42578125" bestFit="1" customWidth="1"/>
    <col min="6" max="6" width="13.85546875" bestFit="1" customWidth="1"/>
    <col min="7" max="7" width="28.42578125" bestFit="1" customWidth="1"/>
    <col min="11" max="11" width="26.7109375" bestFit="1" customWidth="1"/>
    <col min="12" max="12" width="16.5703125" customWidth="1"/>
    <col min="13" max="13" width="19" bestFit="1" customWidth="1"/>
    <col min="14" max="14" width="23.42578125" bestFit="1" customWidth="1"/>
    <col min="15" max="15" width="13.85546875" bestFit="1" customWidth="1"/>
    <col min="16" max="16" width="32.140625" bestFit="1" customWidth="1"/>
  </cols>
  <sheetData>
    <row r="1" spans="1:21" ht="18.75" customHeight="1" x14ac:dyDescent="0.3">
      <c r="A1" s="21" t="s">
        <v>251</v>
      </c>
      <c r="B1" s="20"/>
      <c r="C1" s="20"/>
      <c r="D1" s="20"/>
      <c r="E1" s="20"/>
      <c r="F1" s="20"/>
      <c r="G1" s="20"/>
      <c r="J1" s="21" t="s">
        <v>252</v>
      </c>
      <c r="K1" s="20"/>
      <c r="L1" s="20"/>
      <c r="M1" s="20"/>
      <c r="N1" s="20"/>
      <c r="O1" s="20"/>
      <c r="P1" s="20"/>
    </row>
    <row r="2" spans="1:21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1"/>
      <c r="I2" s="1"/>
      <c r="J2" s="2" t="s">
        <v>4</v>
      </c>
      <c r="K2" s="2" t="s">
        <v>5</v>
      </c>
      <c r="L2" s="2" t="s">
        <v>6</v>
      </c>
      <c r="M2" s="2" t="s">
        <v>11</v>
      </c>
      <c r="N2" s="2" t="s">
        <v>8</v>
      </c>
      <c r="O2" s="2" t="s">
        <v>9</v>
      </c>
      <c r="P2" s="2" t="s">
        <v>12</v>
      </c>
      <c r="Q2" s="1"/>
      <c r="R2" s="1"/>
      <c r="S2" s="1"/>
      <c r="T2" s="12"/>
      <c r="U2" s="12"/>
    </row>
    <row r="3" spans="1:21" ht="18.75" customHeight="1" x14ac:dyDescent="0.3">
      <c r="A3" s="2">
        <v>1</v>
      </c>
      <c r="B3" s="3" t="s">
        <v>41</v>
      </c>
      <c r="C3" s="3" t="s">
        <v>25</v>
      </c>
      <c r="D3" s="3">
        <v>87</v>
      </c>
      <c r="E3" s="3">
        <v>38</v>
      </c>
      <c r="F3" s="3" t="s">
        <v>15</v>
      </c>
      <c r="G3" s="5">
        <f t="shared" ref="G3:G12" si="0">D3/E3</f>
        <v>2.2894736842105261</v>
      </c>
      <c r="H3" s="1"/>
      <c r="I3" s="1"/>
      <c r="J3" s="2">
        <f>1</f>
        <v>1</v>
      </c>
      <c r="K3" s="3" t="s">
        <v>41</v>
      </c>
      <c r="L3" s="3" t="s">
        <v>29</v>
      </c>
      <c r="M3" s="3">
        <v>108</v>
      </c>
      <c r="N3" s="3">
        <v>38</v>
      </c>
      <c r="O3" s="3" t="s">
        <v>18</v>
      </c>
      <c r="P3" s="5">
        <f t="shared" ref="P3:P12" si="1">M3/N3</f>
        <v>2.8421052631578947</v>
      </c>
      <c r="Q3" s="1"/>
      <c r="R3" s="1"/>
      <c r="S3" s="1"/>
      <c r="T3" s="12"/>
      <c r="U3" s="12"/>
    </row>
    <row r="4" spans="1:21" ht="18.75" customHeight="1" x14ac:dyDescent="0.3">
      <c r="A4" s="2">
        <f>A3+1</f>
        <v>2</v>
      </c>
      <c r="B4" s="3" t="s">
        <v>253</v>
      </c>
      <c r="C4" s="3" t="s">
        <v>54</v>
      </c>
      <c r="D4" s="3">
        <v>84</v>
      </c>
      <c r="E4" s="3">
        <v>38</v>
      </c>
      <c r="F4" s="3" t="s">
        <v>15</v>
      </c>
      <c r="G4" s="5">
        <f t="shared" si="0"/>
        <v>2.2105263157894739</v>
      </c>
      <c r="H4" s="1"/>
      <c r="I4" s="1"/>
      <c r="J4" s="2">
        <f t="shared" ref="J4:J12" si="2">J3+1</f>
        <v>2</v>
      </c>
      <c r="K4" s="3" t="s">
        <v>43</v>
      </c>
      <c r="L4" s="3" t="s">
        <v>29</v>
      </c>
      <c r="M4" s="3">
        <v>107</v>
      </c>
      <c r="N4" s="3">
        <v>38</v>
      </c>
      <c r="O4" s="3" t="s">
        <v>18</v>
      </c>
      <c r="P4" s="5">
        <f t="shared" si="1"/>
        <v>2.8157894736842106</v>
      </c>
      <c r="Q4" s="1"/>
      <c r="R4" s="1"/>
      <c r="S4" s="1"/>
      <c r="T4" s="12"/>
      <c r="U4" s="12"/>
    </row>
    <row r="5" spans="1:21" ht="18.75" customHeight="1" x14ac:dyDescent="0.3">
      <c r="A5" s="2">
        <f>A4+1</f>
        <v>3</v>
      </c>
      <c r="B5" s="3" t="s">
        <v>41</v>
      </c>
      <c r="C5" s="3" t="s">
        <v>32</v>
      </c>
      <c r="D5" s="3">
        <v>82</v>
      </c>
      <c r="E5" s="3">
        <v>38</v>
      </c>
      <c r="F5" s="3" t="s">
        <v>15</v>
      </c>
      <c r="G5" s="5">
        <f t="shared" si="0"/>
        <v>2.1578947368421053</v>
      </c>
      <c r="H5" s="1"/>
      <c r="I5" s="1"/>
      <c r="J5" s="2">
        <f t="shared" si="2"/>
        <v>3</v>
      </c>
      <c r="K5" s="3" t="s">
        <v>41</v>
      </c>
      <c r="L5" s="3" t="s">
        <v>31</v>
      </c>
      <c r="M5" s="3">
        <v>75</v>
      </c>
      <c r="N5" s="3">
        <v>27</v>
      </c>
      <c r="O5" s="3" t="s">
        <v>18</v>
      </c>
      <c r="P5" s="5">
        <f t="shared" si="1"/>
        <v>2.7777777777777777</v>
      </c>
      <c r="Q5" s="1"/>
      <c r="R5" s="1"/>
      <c r="S5" s="1"/>
      <c r="T5" s="12"/>
      <c r="U5" s="12"/>
    </row>
    <row r="6" spans="1:21" ht="18.75" customHeight="1" x14ac:dyDescent="0.3">
      <c r="A6" s="2">
        <f>A5+1</f>
        <v>4</v>
      </c>
      <c r="B6" s="3" t="s">
        <v>43</v>
      </c>
      <c r="C6" s="3" t="s">
        <v>40</v>
      </c>
      <c r="D6" s="3">
        <v>80</v>
      </c>
      <c r="E6" s="3">
        <v>38</v>
      </c>
      <c r="F6" s="3" t="s">
        <v>15</v>
      </c>
      <c r="G6" s="5">
        <f t="shared" si="0"/>
        <v>2.1052631578947367</v>
      </c>
      <c r="H6" s="1"/>
      <c r="I6" s="1"/>
      <c r="J6" s="2">
        <f t="shared" si="2"/>
        <v>4</v>
      </c>
      <c r="K6" s="3" t="s">
        <v>41</v>
      </c>
      <c r="L6" s="3" t="s">
        <v>14</v>
      </c>
      <c r="M6" s="3">
        <v>105</v>
      </c>
      <c r="N6" s="3">
        <v>38</v>
      </c>
      <c r="O6" s="3" t="s">
        <v>18</v>
      </c>
      <c r="P6" s="5">
        <f t="shared" si="1"/>
        <v>2.763157894736842</v>
      </c>
      <c r="Q6" s="1"/>
      <c r="R6" s="1"/>
      <c r="S6" s="1"/>
      <c r="T6" s="12"/>
      <c r="U6" s="12"/>
    </row>
    <row r="7" spans="1:21" ht="18.75" customHeight="1" x14ac:dyDescent="0.3">
      <c r="A7" s="2">
        <f>A6</f>
        <v>4</v>
      </c>
      <c r="B7" s="3" t="s">
        <v>43</v>
      </c>
      <c r="C7" s="3" t="s">
        <v>29</v>
      </c>
      <c r="D7" s="3">
        <v>80</v>
      </c>
      <c r="E7" s="3">
        <v>38</v>
      </c>
      <c r="F7" s="3" t="s">
        <v>15</v>
      </c>
      <c r="G7" s="5">
        <f t="shared" si="0"/>
        <v>2.1052631578947367</v>
      </c>
      <c r="H7" s="1"/>
      <c r="I7" s="1"/>
      <c r="J7" s="2">
        <f t="shared" si="2"/>
        <v>5</v>
      </c>
      <c r="K7" s="3" t="s">
        <v>41</v>
      </c>
      <c r="L7" s="3" t="s">
        <v>135</v>
      </c>
      <c r="M7" s="3">
        <v>92</v>
      </c>
      <c r="N7" s="3">
        <v>34</v>
      </c>
      <c r="O7" s="3" t="s">
        <v>18</v>
      </c>
      <c r="P7" s="5">
        <f t="shared" si="1"/>
        <v>2.7058823529411766</v>
      </c>
      <c r="Q7" s="1"/>
      <c r="R7" s="1"/>
      <c r="S7" s="1"/>
      <c r="T7" s="12"/>
      <c r="U7" s="12"/>
    </row>
    <row r="8" spans="1:21" ht="18.75" customHeight="1" x14ac:dyDescent="0.3">
      <c r="A8" s="2">
        <f>A7+2</f>
        <v>6</v>
      </c>
      <c r="B8" s="3" t="s">
        <v>254</v>
      </c>
      <c r="C8" s="3" t="s">
        <v>50</v>
      </c>
      <c r="D8" s="3">
        <v>71</v>
      </c>
      <c r="E8" s="3">
        <v>34</v>
      </c>
      <c r="F8" s="3" t="s">
        <v>15</v>
      </c>
      <c r="G8" s="5">
        <f t="shared" si="0"/>
        <v>2.0882352941176472</v>
      </c>
      <c r="H8" s="1"/>
      <c r="I8" s="1"/>
      <c r="J8" s="2">
        <f t="shared" si="2"/>
        <v>6</v>
      </c>
      <c r="K8" s="3" t="s">
        <v>41</v>
      </c>
      <c r="L8" s="3" t="s">
        <v>30</v>
      </c>
      <c r="M8" s="3">
        <v>102</v>
      </c>
      <c r="N8" s="3">
        <v>38</v>
      </c>
      <c r="O8" s="3" t="s">
        <v>18</v>
      </c>
      <c r="P8" s="5">
        <f t="shared" si="1"/>
        <v>2.6842105263157894</v>
      </c>
      <c r="Q8" s="1"/>
      <c r="R8" s="1"/>
      <c r="S8" s="1"/>
      <c r="T8" s="12"/>
      <c r="U8" s="12"/>
    </row>
    <row r="9" spans="1:21" ht="18.75" customHeight="1" x14ac:dyDescent="0.3">
      <c r="A9" s="2">
        <f>A8+1</f>
        <v>7</v>
      </c>
      <c r="B9" s="3" t="s">
        <v>41</v>
      </c>
      <c r="C9" s="3" t="s">
        <v>21</v>
      </c>
      <c r="D9" s="3">
        <v>79</v>
      </c>
      <c r="E9" s="3">
        <v>38</v>
      </c>
      <c r="F9" s="3" t="s">
        <v>15</v>
      </c>
      <c r="G9" s="5">
        <f t="shared" si="0"/>
        <v>2.0789473684210527</v>
      </c>
      <c r="H9" s="1"/>
      <c r="I9" s="1"/>
      <c r="J9" s="2">
        <f t="shared" si="2"/>
        <v>7</v>
      </c>
      <c r="K9" s="3" t="s">
        <v>41</v>
      </c>
      <c r="L9" s="3" t="s">
        <v>35</v>
      </c>
      <c r="M9" s="3">
        <v>81</v>
      </c>
      <c r="N9" s="3">
        <v>34</v>
      </c>
      <c r="O9" s="3" t="s">
        <v>18</v>
      </c>
      <c r="P9" s="5">
        <f t="shared" si="1"/>
        <v>2.3823529411764706</v>
      </c>
      <c r="Q9" s="1"/>
      <c r="R9" s="1"/>
      <c r="S9" s="1"/>
      <c r="T9" s="12"/>
      <c r="U9" s="12"/>
    </row>
    <row r="10" spans="1:21" ht="18.75" customHeight="1" x14ac:dyDescent="0.3">
      <c r="A10" s="2">
        <f>A9+1</f>
        <v>8</v>
      </c>
      <c r="B10" s="3" t="s">
        <v>253</v>
      </c>
      <c r="C10" s="3" t="s">
        <v>17</v>
      </c>
      <c r="D10" s="3">
        <v>70</v>
      </c>
      <c r="E10" s="3">
        <v>34</v>
      </c>
      <c r="F10" s="3" t="s">
        <v>15</v>
      </c>
      <c r="G10" s="5">
        <f t="shared" si="0"/>
        <v>2.0588235294117645</v>
      </c>
      <c r="H10" s="1"/>
      <c r="I10" s="1"/>
      <c r="J10" s="2">
        <f t="shared" si="2"/>
        <v>8</v>
      </c>
      <c r="K10" s="3" t="s">
        <v>41</v>
      </c>
      <c r="L10" s="3" t="s">
        <v>26</v>
      </c>
      <c r="M10" s="3">
        <v>90</v>
      </c>
      <c r="N10" s="3">
        <v>38</v>
      </c>
      <c r="O10" s="3" t="s">
        <v>18</v>
      </c>
      <c r="P10" s="5">
        <f t="shared" si="1"/>
        <v>2.3684210526315788</v>
      </c>
      <c r="Q10" s="1"/>
      <c r="R10" s="1"/>
      <c r="S10" s="1"/>
      <c r="T10" s="12"/>
      <c r="U10" s="12"/>
    </row>
    <row r="11" spans="1:21" ht="18.75" customHeight="1" x14ac:dyDescent="0.3">
      <c r="A11" s="2">
        <f>A10+1</f>
        <v>9</v>
      </c>
      <c r="B11" s="3" t="s">
        <v>255</v>
      </c>
      <c r="C11" s="3" t="s">
        <v>25</v>
      </c>
      <c r="D11" s="3">
        <v>78</v>
      </c>
      <c r="E11" s="3">
        <v>38</v>
      </c>
      <c r="F11" s="3" t="s">
        <v>44</v>
      </c>
      <c r="G11" s="5">
        <f t="shared" si="0"/>
        <v>2.0526315789473686</v>
      </c>
      <c r="H11" s="1"/>
      <c r="I11" s="1"/>
      <c r="J11" s="2">
        <f t="shared" si="2"/>
        <v>9</v>
      </c>
      <c r="K11" s="3" t="s">
        <v>41</v>
      </c>
      <c r="L11" s="3" t="s">
        <v>54</v>
      </c>
      <c r="M11" s="3">
        <v>89</v>
      </c>
      <c r="N11" s="3">
        <v>38</v>
      </c>
      <c r="O11" s="3" t="s">
        <v>18</v>
      </c>
      <c r="P11" s="5">
        <f t="shared" si="1"/>
        <v>2.3421052631578947</v>
      </c>
    </row>
    <row r="12" spans="1:21" ht="18.75" customHeight="1" x14ac:dyDescent="0.3">
      <c r="A12" s="2">
        <f>A11</f>
        <v>9</v>
      </c>
      <c r="B12" s="3" t="s">
        <v>256</v>
      </c>
      <c r="C12" s="3" t="s">
        <v>29</v>
      </c>
      <c r="D12" s="3">
        <v>78</v>
      </c>
      <c r="E12" s="3">
        <v>38</v>
      </c>
      <c r="F12" s="3" t="s">
        <v>44</v>
      </c>
      <c r="G12" s="5">
        <f t="shared" si="0"/>
        <v>2.0526315789473686</v>
      </c>
      <c r="H12" s="1"/>
      <c r="I12" s="1"/>
      <c r="J12" s="2">
        <f t="shared" si="2"/>
        <v>10</v>
      </c>
      <c r="K12" s="3" t="s">
        <v>41</v>
      </c>
      <c r="L12" s="3" t="s">
        <v>32</v>
      </c>
      <c r="M12" s="3">
        <v>86</v>
      </c>
      <c r="N12" s="3">
        <v>38</v>
      </c>
      <c r="O12" s="3" t="s">
        <v>15</v>
      </c>
      <c r="P12" s="5">
        <f t="shared" si="1"/>
        <v>2.263157894736842</v>
      </c>
      <c r="Q12" s="1"/>
      <c r="R12" s="1"/>
      <c r="S12" s="1"/>
      <c r="T12" s="12"/>
      <c r="U12" s="12"/>
    </row>
    <row r="13" spans="1:21" ht="18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Q13" s="1"/>
      <c r="R13" s="1"/>
      <c r="S13" s="1"/>
      <c r="T13" s="12"/>
      <c r="U13" s="12"/>
    </row>
    <row r="14" spans="1:21" ht="18.75" customHeight="1" x14ac:dyDescent="0.3"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2"/>
      <c r="U14" s="12"/>
    </row>
    <row r="15" spans="1:21" ht="18.75" customHeight="1" x14ac:dyDescent="0.3">
      <c r="A15" s="21" t="s">
        <v>257</v>
      </c>
      <c r="B15" s="20"/>
      <c r="C15" s="20"/>
      <c r="D15" s="20"/>
      <c r="E15" s="20"/>
      <c r="F15" s="20"/>
      <c r="G15" s="20"/>
      <c r="H15" s="1"/>
      <c r="I15" s="1"/>
      <c r="J15" s="21" t="s">
        <v>258</v>
      </c>
      <c r="K15" s="20"/>
      <c r="L15" s="20"/>
      <c r="M15" s="20"/>
      <c r="N15" s="20"/>
      <c r="O15" s="20"/>
      <c r="P15" s="20"/>
      <c r="Q15" s="1"/>
      <c r="R15" s="1"/>
      <c r="S15" s="1"/>
      <c r="T15" s="12"/>
      <c r="U15" s="12"/>
    </row>
    <row r="16" spans="1:21" ht="18.75" customHeight="1" x14ac:dyDescent="0.3">
      <c r="A16" s="2" t="s">
        <v>4</v>
      </c>
      <c r="B16" s="2" t="s">
        <v>5</v>
      </c>
      <c r="C16" s="2" t="s">
        <v>6</v>
      </c>
      <c r="D16" s="2" t="s">
        <v>7</v>
      </c>
      <c r="E16" s="2" t="s">
        <v>8</v>
      </c>
      <c r="F16" s="2" t="s">
        <v>9</v>
      </c>
      <c r="G16" s="2" t="s">
        <v>10</v>
      </c>
      <c r="H16" s="1"/>
      <c r="I16" s="1"/>
      <c r="J16" s="2" t="s">
        <v>4</v>
      </c>
      <c r="K16" s="2" t="s">
        <v>5</v>
      </c>
      <c r="L16" s="2" t="s">
        <v>6</v>
      </c>
      <c r="M16" s="2" t="s">
        <v>201</v>
      </c>
      <c r="N16" s="2" t="s">
        <v>8</v>
      </c>
      <c r="O16" s="2" t="s">
        <v>9</v>
      </c>
      <c r="P16" s="2" t="s">
        <v>202</v>
      </c>
      <c r="Q16" s="1"/>
      <c r="R16" s="1"/>
      <c r="S16" s="1"/>
      <c r="T16" s="12"/>
      <c r="U16" s="12"/>
    </row>
    <row r="17" spans="1:21" ht="18.75" customHeight="1" x14ac:dyDescent="0.3">
      <c r="A17" s="2">
        <v>1</v>
      </c>
      <c r="B17" s="3" t="s">
        <v>41</v>
      </c>
      <c r="C17" s="3" t="s">
        <v>30</v>
      </c>
      <c r="D17" s="3">
        <v>96</v>
      </c>
      <c r="E17" s="3">
        <v>38</v>
      </c>
      <c r="F17" s="3" t="s">
        <v>18</v>
      </c>
      <c r="G17" s="5">
        <f t="shared" ref="G17:G28" si="3">D17/E17</f>
        <v>2.5263157894736841</v>
      </c>
      <c r="H17" s="1"/>
      <c r="I17" s="1"/>
      <c r="J17" s="2">
        <f>1</f>
        <v>1</v>
      </c>
      <c r="K17" s="3" t="s">
        <v>41</v>
      </c>
      <c r="L17" s="3" t="s">
        <v>30</v>
      </c>
      <c r="M17" s="3">
        <v>19</v>
      </c>
      <c r="N17" s="3">
        <v>38</v>
      </c>
      <c r="O17" s="3" t="s">
        <v>18</v>
      </c>
      <c r="P17" s="5">
        <f t="shared" ref="P17:P26" si="4">M17/N17</f>
        <v>0.5</v>
      </c>
      <c r="Q17" s="1"/>
      <c r="R17" s="1"/>
      <c r="S17" s="1"/>
      <c r="T17" s="12"/>
      <c r="U17" s="12"/>
    </row>
    <row r="18" spans="1:21" ht="18.75" customHeight="1" x14ac:dyDescent="0.3">
      <c r="A18" s="2">
        <f t="shared" ref="A18:A26" si="5">A17+1</f>
        <v>2</v>
      </c>
      <c r="B18" s="3" t="s">
        <v>41</v>
      </c>
      <c r="C18" s="3" t="s">
        <v>31</v>
      </c>
      <c r="D18" s="3">
        <v>68</v>
      </c>
      <c r="E18" s="3">
        <v>27</v>
      </c>
      <c r="F18" s="3" t="s">
        <v>18</v>
      </c>
      <c r="G18" s="5">
        <f t="shared" si="3"/>
        <v>2.5185185185185186</v>
      </c>
      <c r="H18" s="1"/>
      <c r="I18" s="1"/>
      <c r="J18" s="2">
        <f>J17+1</f>
        <v>2</v>
      </c>
      <c r="K18" s="3" t="s">
        <v>58</v>
      </c>
      <c r="L18" s="3" t="s">
        <v>49</v>
      </c>
      <c r="M18" s="3">
        <v>22</v>
      </c>
      <c r="N18" s="3">
        <v>38</v>
      </c>
      <c r="O18" s="3" t="s">
        <v>18</v>
      </c>
      <c r="P18" s="5">
        <f t="shared" si="4"/>
        <v>0.57894736842105265</v>
      </c>
      <c r="Q18" s="1"/>
      <c r="R18" s="1"/>
      <c r="S18" s="1"/>
      <c r="T18" s="12"/>
      <c r="U18" s="12"/>
    </row>
    <row r="19" spans="1:21" ht="18.75" customHeight="1" x14ac:dyDescent="0.3">
      <c r="A19" s="2">
        <f t="shared" si="5"/>
        <v>3</v>
      </c>
      <c r="B19" s="3" t="s">
        <v>43</v>
      </c>
      <c r="C19" s="3" t="s">
        <v>25</v>
      </c>
      <c r="D19" s="3">
        <v>95</v>
      </c>
      <c r="E19" s="3">
        <v>38</v>
      </c>
      <c r="F19" s="3" t="s">
        <v>18</v>
      </c>
      <c r="G19" s="5">
        <f t="shared" si="3"/>
        <v>2.5</v>
      </c>
      <c r="H19" s="1"/>
      <c r="I19" s="1"/>
      <c r="J19" s="2">
        <f>J18+1</f>
        <v>3</v>
      </c>
      <c r="K19" s="3" t="s">
        <v>41</v>
      </c>
      <c r="L19" s="3" t="s">
        <v>40</v>
      </c>
      <c r="M19" s="3">
        <v>23</v>
      </c>
      <c r="N19" s="3">
        <v>38</v>
      </c>
      <c r="O19" s="3" t="s">
        <v>18</v>
      </c>
      <c r="P19" s="5">
        <f t="shared" si="4"/>
        <v>0.60526315789473684</v>
      </c>
      <c r="Q19" s="1"/>
      <c r="R19" s="1"/>
      <c r="S19" s="1"/>
      <c r="T19" s="12"/>
      <c r="U19" s="12"/>
    </row>
    <row r="20" spans="1:21" ht="18.75" customHeight="1" x14ac:dyDescent="0.3">
      <c r="A20" s="2">
        <f t="shared" si="5"/>
        <v>4</v>
      </c>
      <c r="B20" s="3" t="s">
        <v>41</v>
      </c>
      <c r="C20" s="3" t="s">
        <v>135</v>
      </c>
      <c r="D20" s="3">
        <v>84</v>
      </c>
      <c r="E20" s="3">
        <v>34</v>
      </c>
      <c r="F20" s="3" t="s">
        <v>18</v>
      </c>
      <c r="G20" s="5">
        <f t="shared" si="3"/>
        <v>2.4705882352941178</v>
      </c>
      <c r="H20" s="1"/>
      <c r="I20" s="1"/>
      <c r="J20" s="2">
        <f>J19</f>
        <v>3</v>
      </c>
      <c r="K20" s="3" t="s">
        <v>259</v>
      </c>
      <c r="L20" s="3" t="s">
        <v>32</v>
      </c>
      <c r="M20" s="3">
        <v>23</v>
      </c>
      <c r="N20" s="3">
        <v>38</v>
      </c>
      <c r="O20" s="3" t="s">
        <v>18</v>
      </c>
      <c r="P20" s="5">
        <f t="shared" si="4"/>
        <v>0.60526315789473684</v>
      </c>
      <c r="Q20" s="1"/>
      <c r="R20" s="1"/>
      <c r="S20" s="1"/>
      <c r="T20" s="12"/>
      <c r="U20" s="12"/>
    </row>
    <row r="21" spans="1:21" ht="18.75" customHeight="1" x14ac:dyDescent="0.3">
      <c r="A21" s="2">
        <f t="shared" si="5"/>
        <v>5</v>
      </c>
      <c r="B21" s="3" t="s">
        <v>41</v>
      </c>
      <c r="C21" s="3" t="s">
        <v>29</v>
      </c>
      <c r="D21" s="3">
        <v>93</v>
      </c>
      <c r="E21" s="3">
        <v>38</v>
      </c>
      <c r="F21" s="3" t="s">
        <v>18</v>
      </c>
      <c r="G21" s="5">
        <f t="shared" si="3"/>
        <v>2.4473684210526314</v>
      </c>
      <c r="H21" s="1"/>
      <c r="I21" s="1"/>
      <c r="J21" s="2">
        <f>J20</f>
        <v>3</v>
      </c>
      <c r="K21" s="3" t="s">
        <v>41</v>
      </c>
      <c r="L21" s="3" t="s">
        <v>27</v>
      </c>
      <c r="M21" s="3">
        <v>23</v>
      </c>
      <c r="N21" s="3">
        <v>38</v>
      </c>
      <c r="O21" s="3" t="s">
        <v>18</v>
      </c>
      <c r="P21" s="5">
        <f t="shared" si="4"/>
        <v>0.60526315789473684</v>
      </c>
      <c r="Q21" s="1"/>
      <c r="R21" s="1"/>
      <c r="S21" s="1"/>
      <c r="T21" s="12"/>
      <c r="U21" s="12"/>
    </row>
    <row r="22" spans="1:21" ht="18.75" customHeight="1" x14ac:dyDescent="0.3">
      <c r="A22" s="2">
        <f t="shared" si="5"/>
        <v>6</v>
      </c>
      <c r="B22" s="3" t="s">
        <v>41</v>
      </c>
      <c r="C22" s="3" t="s">
        <v>14</v>
      </c>
      <c r="D22" s="3">
        <v>91</v>
      </c>
      <c r="E22" s="3">
        <v>38</v>
      </c>
      <c r="F22" s="3" t="s">
        <v>18</v>
      </c>
      <c r="G22" s="5">
        <f t="shared" si="3"/>
        <v>2.3947368421052633</v>
      </c>
      <c r="H22" s="1"/>
      <c r="I22" s="1"/>
      <c r="J22" s="2">
        <f>J21+3</f>
        <v>6</v>
      </c>
      <c r="K22" s="3" t="s">
        <v>260</v>
      </c>
      <c r="L22" s="3" t="s">
        <v>37</v>
      </c>
      <c r="M22" s="3">
        <v>25</v>
      </c>
      <c r="N22" s="3">
        <v>38</v>
      </c>
      <c r="O22" s="3" t="s">
        <v>15</v>
      </c>
      <c r="P22" s="5">
        <f t="shared" si="4"/>
        <v>0.65789473684210531</v>
      </c>
      <c r="Q22" s="1"/>
      <c r="R22" s="1"/>
      <c r="S22" s="1"/>
      <c r="T22" s="12"/>
      <c r="U22" s="12"/>
    </row>
    <row r="23" spans="1:21" ht="18.75" customHeight="1" x14ac:dyDescent="0.3">
      <c r="A23" s="2">
        <f t="shared" si="5"/>
        <v>7</v>
      </c>
      <c r="B23" s="3" t="s">
        <v>41</v>
      </c>
      <c r="C23" s="3" t="s">
        <v>40</v>
      </c>
      <c r="D23" s="3">
        <v>89</v>
      </c>
      <c r="E23" s="3">
        <v>38</v>
      </c>
      <c r="F23" s="3" t="s">
        <v>18</v>
      </c>
      <c r="G23" s="5">
        <f t="shared" si="3"/>
        <v>2.3421052631578947</v>
      </c>
      <c r="H23" s="1"/>
      <c r="I23" s="1"/>
      <c r="J23" s="2">
        <f>J22+1</f>
        <v>7</v>
      </c>
      <c r="K23" s="3" t="s">
        <v>58</v>
      </c>
      <c r="L23" s="3" t="s">
        <v>57</v>
      </c>
      <c r="M23" s="3">
        <v>26</v>
      </c>
      <c r="N23" s="3">
        <v>38</v>
      </c>
      <c r="O23" s="3" t="s">
        <v>18</v>
      </c>
      <c r="P23" s="5">
        <f t="shared" si="4"/>
        <v>0.68421052631578949</v>
      </c>
      <c r="Q23" s="1"/>
      <c r="R23" s="1"/>
      <c r="S23" s="1"/>
      <c r="T23" s="12"/>
      <c r="U23" s="12"/>
    </row>
    <row r="24" spans="1:21" ht="18.75" customHeight="1" x14ac:dyDescent="0.3">
      <c r="A24" s="2">
        <f t="shared" si="5"/>
        <v>8</v>
      </c>
      <c r="B24" s="3" t="s">
        <v>41</v>
      </c>
      <c r="C24" s="3" t="s">
        <v>25</v>
      </c>
      <c r="D24" s="3">
        <v>87</v>
      </c>
      <c r="E24" s="3">
        <v>38</v>
      </c>
      <c r="F24" s="3" t="s">
        <v>15</v>
      </c>
      <c r="G24" s="5">
        <f t="shared" si="3"/>
        <v>2.2894736842105261</v>
      </c>
      <c r="H24" s="1"/>
      <c r="I24" s="1"/>
      <c r="J24" s="2">
        <f>J22+1</f>
        <v>7</v>
      </c>
      <c r="K24" s="3" t="s">
        <v>43</v>
      </c>
      <c r="L24" s="3" t="s">
        <v>23</v>
      </c>
      <c r="M24" s="3">
        <v>26</v>
      </c>
      <c r="N24" s="3">
        <v>38</v>
      </c>
      <c r="O24" s="3" t="s">
        <v>44</v>
      </c>
      <c r="P24" s="5">
        <f t="shared" si="4"/>
        <v>0.68421052631578949</v>
      </c>
      <c r="Q24" s="1"/>
      <c r="R24" s="1"/>
      <c r="S24" s="1"/>
      <c r="T24" s="12"/>
      <c r="U24" s="12"/>
    </row>
    <row r="25" spans="1:21" ht="18.75" customHeight="1" x14ac:dyDescent="0.3">
      <c r="A25" s="2">
        <f t="shared" si="5"/>
        <v>9</v>
      </c>
      <c r="B25" s="3" t="s">
        <v>41</v>
      </c>
      <c r="C25" s="3" t="s">
        <v>26</v>
      </c>
      <c r="D25" s="3">
        <v>86</v>
      </c>
      <c r="E25" s="3">
        <v>38</v>
      </c>
      <c r="F25" s="3" t="s">
        <v>18</v>
      </c>
      <c r="G25" s="5">
        <f t="shared" si="3"/>
        <v>2.263157894736842</v>
      </c>
      <c r="H25" s="1"/>
      <c r="I25" s="1"/>
      <c r="J25" s="2">
        <f>J24</f>
        <v>7</v>
      </c>
      <c r="K25" s="3" t="s">
        <v>259</v>
      </c>
      <c r="L25" s="3" t="s">
        <v>40</v>
      </c>
      <c r="M25" s="3">
        <v>26</v>
      </c>
      <c r="N25" s="3">
        <v>38</v>
      </c>
      <c r="O25" s="3" t="s">
        <v>44</v>
      </c>
      <c r="P25" s="5">
        <f t="shared" si="4"/>
        <v>0.68421052631578949</v>
      </c>
      <c r="Q25" s="1"/>
      <c r="R25" s="1"/>
      <c r="S25" s="1"/>
      <c r="T25" s="12"/>
      <c r="U25" s="12"/>
    </row>
    <row r="26" spans="1:21" ht="18.75" customHeight="1" x14ac:dyDescent="0.3">
      <c r="A26" s="2">
        <f t="shared" si="5"/>
        <v>10</v>
      </c>
      <c r="B26" s="3" t="s">
        <v>41</v>
      </c>
      <c r="C26" s="3" t="s">
        <v>54</v>
      </c>
      <c r="D26" s="3">
        <v>85</v>
      </c>
      <c r="E26" s="3">
        <v>38</v>
      </c>
      <c r="F26" s="3" t="s">
        <v>18</v>
      </c>
      <c r="G26" s="5">
        <f t="shared" si="3"/>
        <v>2.236842105263158</v>
      </c>
      <c r="H26" s="1"/>
      <c r="I26" s="1"/>
      <c r="J26" s="2">
        <f>J25+3</f>
        <v>10</v>
      </c>
      <c r="K26" s="3" t="s">
        <v>41</v>
      </c>
      <c r="L26" s="3" t="s">
        <v>261</v>
      </c>
      <c r="M26" s="3">
        <v>24</v>
      </c>
      <c r="N26" s="3">
        <v>34</v>
      </c>
      <c r="O26" s="3" t="s">
        <v>98</v>
      </c>
      <c r="P26" s="5">
        <f t="shared" si="4"/>
        <v>0.70588235294117652</v>
      </c>
      <c r="Q26" s="1"/>
      <c r="R26" s="1"/>
      <c r="S26" s="1"/>
      <c r="T26" s="12"/>
      <c r="U26" s="12"/>
    </row>
    <row r="27" spans="1:21" ht="18.75" customHeight="1" x14ac:dyDescent="0.3">
      <c r="A27" s="2">
        <f>A26</f>
        <v>10</v>
      </c>
      <c r="B27" s="3" t="s">
        <v>41</v>
      </c>
      <c r="C27" s="3" t="s">
        <v>17</v>
      </c>
      <c r="D27" s="3">
        <v>76</v>
      </c>
      <c r="E27" s="3">
        <v>34</v>
      </c>
      <c r="F27" s="3" t="s">
        <v>18</v>
      </c>
      <c r="G27" s="5">
        <f t="shared" si="3"/>
        <v>2.2352941176470589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2"/>
      <c r="U27" s="12"/>
    </row>
    <row r="28" spans="1:21" ht="18.75" customHeight="1" x14ac:dyDescent="0.3">
      <c r="A28" s="2">
        <f>A27</f>
        <v>10</v>
      </c>
      <c r="B28" s="3" t="s">
        <v>41</v>
      </c>
      <c r="C28" s="3" t="s">
        <v>35</v>
      </c>
      <c r="D28" s="3">
        <v>76</v>
      </c>
      <c r="E28" s="3">
        <v>34</v>
      </c>
      <c r="F28" s="3" t="s">
        <v>18</v>
      </c>
      <c r="G28" s="5">
        <f t="shared" si="3"/>
        <v>2.2352941176470589</v>
      </c>
      <c r="H28" s="1"/>
      <c r="I28" s="1"/>
      <c r="Q28" s="1"/>
      <c r="R28" s="1"/>
      <c r="S28" s="1"/>
      <c r="T28" s="12"/>
      <c r="U28" s="12"/>
    </row>
    <row r="29" spans="1:21" ht="18.75" customHeight="1" x14ac:dyDescent="0.3">
      <c r="H29" s="1"/>
      <c r="I29" s="1"/>
      <c r="Q29" s="1"/>
      <c r="R29" s="1"/>
      <c r="S29" s="1"/>
      <c r="T29" s="12"/>
      <c r="U29" s="12"/>
    </row>
    <row r="30" spans="1:21" ht="18.75" customHeight="1" x14ac:dyDescent="0.3">
      <c r="H30" s="1"/>
      <c r="I30" s="1"/>
      <c r="Q30" s="1"/>
      <c r="R30" s="1"/>
      <c r="S30" s="1"/>
      <c r="T30" s="12"/>
      <c r="U30" s="12"/>
    </row>
    <row r="31" spans="1:21" ht="18.75" customHeight="1" x14ac:dyDescent="0.3">
      <c r="H31" s="1"/>
      <c r="I31" s="1"/>
      <c r="Q31" s="1"/>
      <c r="R31" s="1"/>
      <c r="S31" s="1"/>
      <c r="T31" s="12"/>
      <c r="U31" s="12"/>
    </row>
    <row r="32" spans="1:21" ht="18.75" customHeight="1" x14ac:dyDescent="0.3">
      <c r="H32" s="1"/>
      <c r="I32" s="1"/>
      <c r="Q32" s="1"/>
      <c r="R32" s="1"/>
      <c r="S32" s="1"/>
      <c r="T32" s="12"/>
      <c r="U32" s="12"/>
    </row>
    <row r="33" spans="1:21" ht="18.75" customHeight="1" x14ac:dyDescent="0.3">
      <c r="H33" s="1"/>
      <c r="I33" s="1"/>
      <c r="Q33" s="1"/>
      <c r="R33" s="1"/>
      <c r="S33" s="1"/>
      <c r="T33" s="12"/>
      <c r="U33" s="12"/>
    </row>
    <row r="34" spans="1:21" ht="18.75" customHeight="1" x14ac:dyDescent="0.3">
      <c r="H34" s="1"/>
      <c r="I34" s="1"/>
      <c r="Q34" s="1"/>
      <c r="R34" s="1"/>
      <c r="S34" s="1"/>
      <c r="T34" s="12"/>
      <c r="U34" s="12"/>
    </row>
    <row r="35" spans="1:21" ht="18.75" customHeight="1" x14ac:dyDescent="0.3">
      <c r="H35" s="1"/>
      <c r="I35" s="1"/>
      <c r="Q35" s="1"/>
      <c r="R35" s="1"/>
      <c r="S35" s="1"/>
      <c r="T35" s="12"/>
      <c r="U35" s="12"/>
    </row>
    <row r="36" spans="1:21" ht="18.75" customHeight="1" x14ac:dyDescent="0.3">
      <c r="H36" s="1"/>
      <c r="I36" s="1"/>
      <c r="Q36" s="1"/>
      <c r="R36" s="1"/>
      <c r="S36" s="1"/>
      <c r="T36" s="12"/>
      <c r="U36" s="12"/>
    </row>
    <row r="37" spans="1:21" ht="18.75" customHeight="1" x14ac:dyDescent="0.3">
      <c r="H37" s="1"/>
      <c r="I37" s="1"/>
      <c r="Q37" s="1"/>
      <c r="R37" s="1"/>
      <c r="S37" s="1"/>
      <c r="T37" s="12"/>
      <c r="U37" s="12"/>
    </row>
    <row r="38" spans="1:21" ht="18.75" customHeight="1" x14ac:dyDescent="0.3">
      <c r="H38" s="1"/>
      <c r="I38" s="1"/>
      <c r="Q38" s="1"/>
      <c r="R38" s="1"/>
      <c r="S38" s="1"/>
      <c r="T38" s="12"/>
      <c r="U38" s="12"/>
    </row>
    <row r="39" spans="1:21" ht="18.75" customHeight="1" x14ac:dyDescent="0.3">
      <c r="H39" s="1"/>
      <c r="I39" s="1"/>
      <c r="Q39" s="1"/>
      <c r="R39" s="1"/>
      <c r="S39" s="1"/>
      <c r="T39" s="12"/>
      <c r="U39" s="12"/>
    </row>
    <row r="40" spans="1:21" ht="18.75" customHeight="1" x14ac:dyDescent="0.3">
      <c r="H40" s="1"/>
      <c r="I40" s="1"/>
      <c r="Q40" s="1"/>
      <c r="R40" s="1"/>
      <c r="S40" s="1"/>
      <c r="T40" s="12"/>
      <c r="U40" s="12"/>
    </row>
    <row r="41" spans="1:21" ht="18.75" customHeight="1" x14ac:dyDescent="0.3"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2"/>
      <c r="U41" s="12"/>
    </row>
    <row r="42" spans="1:21" ht="18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2"/>
      <c r="U42" s="12"/>
    </row>
    <row r="43" spans="1:21" ht="18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2"/>
      <c r="U43" s="12"/>
    </row>
    <row r="44" spans="1:21" ht="18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2"/>
      <c r="U44" s="12"/>
    </row>
    <row r="45" spans="1:21" ht="18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2"/>
      <c r="U45" s="12"/>
    </row>
    <row r="46" spans="1:21" ht="18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2"/>
      <c r="U46" s="12"/>
    </row>
    <row r="47" spans="1:21" ht="18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2"/>
      <c r="U47" s="12"/>
    </row>
    <row r="48" spans="1:21" ht="18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2"/>
      <c r="U48" s="12"/>
    </row>
    <row r="49" spans="1:21" ht="18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2"/>
      <c r="U49" s="12"/>
    </row>
    <row r="50" spans="1:21" ht="18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2"/>
      <c r="U50" s="12"/>
    </row>
    <row r="51" spans="1:21" ht="18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2"/>
      <c r="U51" s="12"/>
    </row>
    <row r="52" spans="1:21" ht="18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2"/>
      <c r="U52" s="12"/>
    </row>
    <row r="53" spans="1:21" ht="18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2"/>
      <c r="U53" s="12"/>
    </row>
    <row r="54" spans="1:21" ht="18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2"/>
      <c r="U54" s="12"/>
    </row>
    <row r="55" spans="1:21" ht="18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2"/>
      <c r="U55" s="12"/>
    </row>
    <row r="56" spans="1:21" ht="18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2"/>
      <c r="U56" s="12"/>
    </row>
    <row r="57" spans="1:21" ht="18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2"/>
      <c r="U57" s="12"/>
    </row>
    <row r="58" spans="1:21" ht="18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2"/>
      <c r="U58" s="12"/>
    </row>
    <row r="59" spans="1:21" ht="18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2"/>
      <c r="U59" s="12"/>
    </row>
    <row r="60" spans="1:21" ht="18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2"/>
      <c r="U60" s="12"/>
    </row>
    <row r="61" spans="1:21" ht="18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2"/>
      <c r="U61" s="12"/>
    </row>
    <row r="62" spans="1:21" ht="18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2"/>
      <c r="U62" s="12"/>
    </row>
    <row r="63" spans="1:21" ht="18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2"/>
      <c r="U63" s="12"/>
    </row>
    <row r="64" spans="1:21" ht="18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2"/>
      <c r="U64" s="12"/>
    </row>
    <row r="65" spans="1:21" ht="18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2"/>
      <c r="U65" s="12"/>
    </row>
    <row r="66" spans="1:21" ht="18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2"/>
      <c r="U66" s="12"/>
    </row>
    <row r="67" spans="1:21" ht="18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2"/>
      <c r="U67" s="12"/>
    </row>
    <row r="68" spans="1:21" ht="18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2"/>
      <c r="U68" s="12"/>
    </row>
    <row r="69" spans="1:21" ht="18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2"/>
      <c r="U69" s="12"/>
    </row>
    <row r="70" spans="1:21" ht="18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2"/>
      <c r="U70" s="12"/>
    </row>
    <row r="71" spans="1:21" ht="18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2"/>
      <c r="U71" s="12"/>
    </row>
    <row r="72" spans="1:21" ht="18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2"/>
      <c r="U72" s="12"/>
    </row>
    <row r="73" spans="1:21" ht="18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2"/>
      <c r="U73" s="12"/>
    </row>
    <row r="74" spans="1:21" ht="18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2"/>
      <c r="U74" s="12"/>
    </row>
    <row r="75" spans="1:21" ht="18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2"/>
      <c r="U75" s="12"/>
    </row>
    <row r="76" spans="1:21" ht="18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2"/>
      <c r="U76" s="12"/>
    </row>
    <row r="77" spans="1:21" ht="18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2"/>
      <c r="U77" s="12"/>
    </row>
    <row r="78" spans="1:21" ht="18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2"/>
      <c r="U78" s="12"/>
    </row>
    <row r="79" spans="1:21" ht="18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2"/>
      <c r="U79" s="12"/>
    </row>
    <row r="80" spans="1:21" ht="18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2"/>
      <c r="U80" s="12"/>
    </row>
    <row r="81" spans="1:21" ht="18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2"/>
      <c r="U81" s="12"/>
    </row>
    <row r="82" spans="1:21" ht="18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2"/>
      <c r="U82" s="12"/>
    </row>
    <row r="83" spans="1:21" ht="18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2"/>
      <c r="U83" s="12"/>
    </row>
    <row r="84" spans="1:21" ht="18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2"/>
      <c r="U84" s="12"/>
    </row>
    <row r="85" spans="1:21" ht="18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2"/>
      <c r="U85" s="12"/>
    </row>
    <row r="86" spans="1:21" ht="18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2"/>
      <c r="U86" s="12"/>
    </row>
    <row r="87" spans="1:21" ht="18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2"/>
      <c r="U87" s="12"/>
    </row>
    <row r="88" spans="1:21" ht="18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2"/>
      <c r="U88" s="12"/>
    </row>
    <row r="89" spans="1:21" ht="18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2"/>
      <c r="U89" s="12"/>
    </row>
    <row r="90" spans="1:21" ht="18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2"/>
      <c r="U90" s="12"/>
    </row>
    <row r="91" spans="1:21" ht="18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2"/>
      <c r="U91" s="12"/>
    </row>
    <row r="92" spans="1:21" ht="18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2"/>
      <c r="U92" s="12"/>
    </row>
    <row r="93" spans="1:21" ht="18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2"/>
      <c r="U93" s="12"/>
    </row>
    <row r="94" spans="1:21" ht="18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2"/>
      <c r="U94" s="12"/>
    </row>
    <row r="95" spans="1:21" ht="18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2"/>
      <c r="U95" s="12"/>
    </row>
    <row r="96" spans="1:21" ht="18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2"/>
      <c r="U96" s="12"/>
    </row>
    <row r="97" spans="1:21" ht="18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2"/>
      <c r="U97" s="12"/>
    </row>
    <row r="98" spans="1:21" ht="18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2"/>
      <c r="U98" s="12"/>
    </row>
    <row r="99" spans="1:21" ht="18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2"/>
      <c r="U99" s="12"/>
    </row>
    <row r="100" spans="1:21" ht="18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2"/>
      <c r="U100" s="12"/>
    </row>
    <row r="101" spans="1:21" ht="18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2"/>
      <c r="U101" s="12"/>
    </row>
    <row r="102" spans="1:21" ht="18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2"/>
      <c r="U102" s="12"/>
    </row>
    <row r="103" spans="1:21" ht="18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2"/>
      <c r="U103" s="12"/>
    </row>
    <row r="104" spans="1:21" ht="18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2"/>
      <c r="U104" s="12"/>
    </row>
    <row r="105" spans="1:21" ht="18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2"/>
      <c r="U105" s="12"/>
    </row>
    <row r="106" spans="1:21" ht="18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2"/>
      <c r="U106" s="12"/>
    </row>
    <row r="107" spans="1:21" ht="18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2"/>
      <c r="U107" s="12"/>
    </row>
    <row r="108" spans="1:21" ht="18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2"/>
      <c r="U108" s="12"/>
    </row>
    <row r="109" spans="1:21" ht="18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2"/>
      <c r="U109" s="12"/>
    </row>
    <row r="110" spans="1:21" ht="18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2"/>
      <c r="U110" s="12"/>
    </row>
    <row r="111" spans="1:21" ht="18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2"/>
      <c r="U111" s="12"/>
    </row>
    <row r="112" spans="1:21" ht="18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2"/>
      <c r="U112" s="12"/>
    </row>
    <row r="113" spans="1:21" ht="18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2"/>
      <c r="U113" s="12"/>
    </row>
    <row r="114" spans="1:21" ht="18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2"/>
      <c r="U114" s="12"/>
    </row>
    <row r="115" spans="1:21" ht="18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2"/>
      <c r="U115" s="12"/>
    </row>
    <row r="116" spans="1:21" ht="18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2"/>
      <c r="U116" s="12"/>
    </row>
    <row r="117" spans="1:21" ht="18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2"/>
      <c r="U117" s="12"/>
    </row>
    <row r="118" spans="1:21" ht="18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2"/>
      <c r="U118" s="12"/>
    </row>
    <row r="119" spans="1:21" ht="18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2"/>
      <c r="U119" s="12"/>
    </row>
    <row r="120" spans="1:21" ht="18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21" ht="18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21" ht="18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21" ht="18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21" ht="18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1:21" ht="18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21" ht="18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21" ht="18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21" ht="18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1:19" ht="18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 ht="18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1:19" ht="18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1:19" ht="18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1:19" ht="18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1:19" ht="18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1:19" ht="18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1:19" ht="18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1:19" ht="18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1:19" ht="18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1:19" ht="18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1:19" ht="18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1:19" ht="18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1:19" ht="18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1:19" ht="18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1:19" ht="18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1:19" ht="18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1:19" ht="18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1:19" ht="18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1:19" ht="18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1:19" ht="18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1:19" ht="18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1:19" ht="18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1:19" ht="18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1:19" ht="18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1:19" ht="18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1:19" ht="18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1:19" ht="18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1:19" ht="18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1:19" ht="18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1:19" ht="18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1:19" ht="18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1:19" ht="18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1:19" ht="18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1:19" ht="18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1:19" ht="18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1:19" ht="18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1:19" ht="18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1:19" ht="18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1:19" ht="18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1:19" ht="18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1:19" ht="18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1:19" ht="18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1:19" ht="18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spans="1:19" ht="18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spans="1:19" ht="18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spans="1:19" ht="18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spans="1:19" ht="18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spans="1:19" ht="18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spans="1:19" ht="18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spans="1:19" ht="18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spans="1:19" ht="18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spans="1:19" ht="18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spans="1:19" ht="18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spans="1:19" ht="18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spans="1:19" ht="18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spans="1:19" ht="18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spans="1:19" ht="18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spans="1:19" ht="18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spans="1:19" ht="18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spans="1:19" ht="18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spans="1:19" ht="18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spans="1:19" ht="18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spans="1:19" ht="18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spans="1:19" ht="18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spans="1:19" ht="18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spans="1:19" ht="18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spans="1:19" ht="18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spans="1:19" ht="18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spans="1:19" ht="18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spans="1:19" ht="18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spans="1:19" ht="18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</sheetData>
  <mergeCells count="4">
    <mergeCell ref="J1:P1"/>
    <mergeCell ref="A1:G1"/>
    <mergeCell ref="J15:P15"/>
    <mergeCell ref="A15:G15"/>
  </mergeCells>
  <conditionalFormatting sqref="G3:G12"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28"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12">
    <cfRule type="colorScale" priority="5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7:P26">
    <cfRule type="colorScale" priority="1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38"/>
  <sheetViews>
    <sheetView topLeftCell="E1" workbookViewId="0">
      <selection activeCell="M15" sqref="M15"/>
    </sheetView>
  </sheetViews>
  <sheetFormatPr baseColWidth="10" defaultRowHeight="15" x14ac:dyDescent="0.25"/>
  <cols>
    <col min="2" max="2" width="27.7109375" customWidth="1"/>
    <col min="3" max="3" width="16.140625" customWidth="1"/>
    <col min="4" max="4" width="14" bestFit="1" customWidth="1"/>
    <col min="5" max="5" width="30.7109375" bestFit="1" customWidth="1"/>
    <col min="6" max="6" width="22.42578125" bestFit="1" customWidth="1"/>
    <col min="7" max="7" width="13.85546875" bestFit="1" customWidth="1"/>
    <col min="8" max="8" width="28.42578125" bestFit="1" customWidth="1"/>
    <col min="11" max="11" width="12.5703125" customWidth="1"/>
    <col min="12" max="12" width="26.7109375" bestFit="1" customWidth="1"/>
    <col min="13" max="13" width="17.85546875" customWidth="1"/>
    <col min="14" max="14" width="19" bestFit="1" customWidth="1"/>
    <col min="15" max="15" width="22.42578125" bestFit="1" customWidth="1"/>
    <col min="16" max="16" width="16.5703125" customWidth="1"/>
    <col min="17" max="17" width="33.42578125" customWidth="1"/>
  </cols>
  <sheetData>
    <row r="1" spans="1:17" ht="18.75" customHeight="1" x14ac:dyDescent="0.3">
      <c r="A1" s="21" t="s">
        <v>262</v>
      </c>
      <c r="B1" s="20"/>
      <c r="C1" s="20"/>
      <c r="D1" s="20"/>
      <c r="E1" s="20"/>
      <c r="F1" s="20"/>
      <c r="G1" s="20"/>
      <c r="H1" s="20"/>
      <c r="K1" s="21" t="s">
        <v>263</v>
      </c>
      <c r="L1" s="20"/>
      <c r="M1" s="20"/>
      <c r="N1" s="20"/>
      <c r="O1" s="20"/>
      <c r="P1" s="20"/>
      <c r="Q1" s="20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10</v>
      </c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</row>
    <row r="3" spans="1:17" ht="18.75" customHeight="1" x14ac:dyDescent="0.3">
      <c r="A3" s="2">
        <v>1</v>
      </c>
      <c r="B3" s="3" t="s">
        <v>41</v>
      </c>
      <c r="C3" s="3" t="s">
        <v>25</v>
      </c>
      <c r="D3" s="3">
        <v>87</v>
      </c>
      <c r="E3" s="3">
        <v>114</v>
      </c>
      <c r="F3" s="3">
        <v>38</v>
      </c>
      <c r="G3" s="3" t="s">
        <v>15</v>
      </c>
      <c r="H3" s="5">
        <f>D3/F3</f>
        <v>2.2894736842105261</v>
      </c>
      <c r="K3" s="2">
        <v>1</v>
      </c>
      <c r="L3" s="3" t="s">
        <v>67</v>
      </c>
      <c r="M3" s="3" t="s">
        <v>68</v>
      </c>
      <c r="N3" s="3">
        <v>118</v>
      </c>
      <c r="O3" s="3">
        <v>38</v>
      </c>
      <c r="P3" s="3" t="s">
        <v>44</v>
      </c>
      <c r="Q3" s="5">
        <f t="shared" ref="Q3:Q13" si="0">N3/O3</f>
        <v>3.1052631578947367</v>
      </c>
    </row>
    <row r="4" spans="1:17" ht="18.75" customHeight="1" x14ac:dyDescent="0.3">
      <c r="A4" s="2">
        <f>A3+1</f>
        <v>2</v>
      </c>
      <c r="B4" s="3" t="s">
        <v>264</v>
      </c>
      <c r="C4" s="3" t="s">
        <v>72</v>
      </c>
      <c r="D4" s="3">
        <v>56</v>
      </c>
      <c r="E4" s="3" t="s">
        <v>111</v>
      </c>
      <c r="F4" s="3">
        <v>38</v>
      </c>
      <c r="G4" s="3" t="s">
        <v>15</v>
      </c>
      <c r="H4" s="5">
        <f>(D4/76)*3</f>
        <v>2.2105263157894735</v>
      </c>
      <c r="K4" s="2">
        <f t="shared" ref="K4:K12" si="1">K3+1</f>
        <v>2</v>
      </c>
      <c r="L4" s="3" t="s">
        <v>265</v>
      </c>
      <c r="M4" s="3" t="s">
        <v>68</v>
      </c>
      <c r="N4" s="3">
        <v>109</v>
      </c>
      <c r="O4" s="3">
        <v>38</v>
      </c>
      <c r="P4" s="3" t="s">
        <v>18</v>
      </c>
      <c r="Q4" s="5">
        <f t="shared" si="0"/>
        <v>2.8684210526315788</v>
      </c>
    </row>
    <row r="5" spans="1:17" ht="18.75" customHeight="1" x14ac:dyDescent="0.3">
      <c r="A5" s="2">
        <f>A4</f>
        <v>2</v>
      </c>
      <c r="B5" s="3" t="s">
        <v>253</v>
      </c>
      <c r="C5" s="3" t="s">
        <v>54</v>
      </c>
      <c r="D5" s="3">
        <v>84</v>
      </c>
      <c r="E5" s="3">
        <v>114</v>
      </c>
      <c r="F5" s="3">
        <v>38</v>
      </c>
      <c r="G5" s="3" t="s">
        <v>15</v>
      </c>
      <c r="H5" s="5">
        <f>D5/F5</f>
        <v>2.2105263157894739</v>
      </c>
      <c r="K5" s="2">
        <f t="shared" si="1"/>
        <v>3</v>
      </c>
      <c r="L5" s="3" t="s">
        <v>41</v>
      </c>
      <c r="M5" s="3" t="s">
        <v>29</v>
      </c>
      <c r="N5" s="3">
        <v>108</v>
      </c>
      <c r="O5" s="3">
        <v>38</v>
      </c>
      <c r="P5" s="3" t="s">
        <v>18</v>
      </c>
      <c r="Q5" s="5">
        <f t="shared" si="0"/>
        <v>2.8421052631578947</v>
      </c>
    </row>
    <row r="6" spans="1:17" ht="18.75" customHeight="1" x14ac:dyDescent="0.3">
      <c r="A6" s="2">
        <f>A5+2</f>
        <v>4</v>
      </c>
      <c r="B6" s="3" t="s">
        <v>266</v>
      </c>
      <c r="C6" s="3" t="s">
        <v>156</v>
      </c>
      <c r="D6" s="3">
        <v>55</v>
      </c>
      <c r="E6" s="3" t="s">
        <v>111</v>
      </c>
      <c r="F6" s="3">
        <v>38</v>
      </c>
      <c r="G6" s="3" t="s">
        <v>15</v>
      </c>
      <c r="H6" s="5">
        <f>(D6/76)*3</f>
        <v>2.1710526315789473</v>
      </c>
      <c r="K6" s="2">
        <f t="shared" si="1"/>
        <v>4</v>
      </c>
      <c r="L6" s="3" t="s">
        <v>43</v>
      </c>
      <c r="M6" s="3" t="s">
        <v>29</v>
      </c>
      <c r="N6" s="3">
        <v>107</v>
      </c>
      <c r="O6" s="3">
        <v>38</v>
      </c>
      <c r="P6" s="3" t="s">
        <v>18</v>
      </c>
      <c r="Q6" s="5">
        <f t="shared" si="0"/>
        <v>2.8157894736842106</v>
      </c>
    </row>
    <row r="7" spans="1:17" ht="18.75" customHeight="1" x14ac:dyDescent="0.3">
      <c r="A7" s="2">
        <f>A6</f>
        <v>4</v>
      </c>
      <c r="B7" s="3" t="s">
        <v>266</v>
      </c>
      <c r="C7" s="3" t="s">
        <v>86</v>
      </c>
      <c r="D7" s="3">
        <v>55</v>
      </c>
      <c r="E7" s="3" t="s">
        <v>111</v>
      </c>
      <c r="F7" s="3">
        <v>38</v>
      </c>
      <c r="G7" s="3" t="s">
        <v>15</v>
      </c>
      <c r="H7" s="5">
        <f>(D7/76)*3</f>
        <v>2.1710526315789473</v>
      </c>
      <c r="K7" s="2">
        <f t="shared" si="1"/>
        <v>5</v>
      </c>
      <c r="L7" s="3" t="s">
        <v>41</v>
      </c>
      <c r="M7" s="3" t="s">
        <v>31</v>
      </c>
      <c r="N7" s="3">
        <v>75</v>
      </c>
      <c r="O7" s="3">
        <v>27</v>
      </c>
      <c r="P7" s="3" t="s">
        <v>18</v>
      </c>
      <c r="Q7" s="5">
        <f t="shared" si="0"/>
        <v>2.7777777777777777</v>
      </c>
    </row>
    <row r="8" spans="1:17" ht="18.75" customHeight="1" x14ac:dyDescent="0.3">
      <c r="A8" s="2">
        <f>A7+3</f>
        <v>7</v>
      </c>
      <c r="B8" s="3" t="s">
        <v>41</v>
      </c>
      <c r="C8" s="3" t="s">
        <v>32</v>
      </c>
      <c r="D8" s="3">
        <v>82</v>
      </c>
      <c r="E8" s="3">
        <v>114</v>
      </c>
      <c r="F8" s="3">
        <v>38</v>
      </c>
      <c r="G8" s="3" t="s">
        <v>15</v>
      </c>
      <c r="H8" s="5">
        <f>D8/F8</f>
        <v>2.1578947368421053</v>
      </c>
      <c r="K8" s="2">
        <f t="shared" si="1"/>
        <v>6</v>
      </c>
      <c r="L8" s="3" t="s">
        <v>41</v>
      </c>
      <c r="M8" s="3" t="s">
        <v>14</v>
      </c>
      <c r="N8" s="3">
        <v>105</v>
      </c>
      <c r="O8" s="3">
        <v>38</v>
      </c>
      <c r="P8" s="3" t="s">
        <v>18</v>
      </c>
      <c r="Q8" s="5">
        <f t="shared" si="0"/>
        <v>2.763157894736842</v>
      </c>
    </row>
    <row r="9" spans="1:17" ht="18.75" customHeight="1" x14ac:dyDescent="0.3">
      <c r="A9" s="2">
        <f>A8+1</f>
        <v>8</v>
      </c>
      <c r="B9" s="3" t="s">
        <v>43</v>
      </c>
      <c r="C9" s="3" t="s">
        <v>153</v>
      </c>
      <c r="D9" s="3">
        <v>54</v>
      </c>
      <c r="E9" s="3" t="s">
        <v>111</v>
      </c>
      <c r="F9" s="3">
        <v>38</v>
      </c>
      <c r="G9" s="3" t="s">
        <v>15</v>
      </c>
      <c r="H9" s="5">
        <f t="shared" ref="H9:H14" si="2">(D9/76)*3</f>
        <v>2.1315789473684212</v>
      </c>
      <c r="K9" s="2">
        <f t="shared" si="1"/>
        <v>7</v>
      </c>
      <c r="L9" s="3" t="s">
        <v>41</v>
      </c>
      <c r="M9" s="3" t="s">
        <v>135</v>
      </c>
      <c r="N9" s="3">
        <v>92</v>
      </c>
      <c r="O9" s="3">
        <v>34</v>
      </c>
      <c r="P9" s="3" t="s">
        <v>18</v>
      </c>
      <c r="Q9" s="5">
        <f t="shared" si="0"/>
        <v>2.7058823529411766</v>
      </c>
    </row>
    <row r="10" spans="1:17" ht="18.75" customHeight="1" x14ac:dyDescent="0.3">
      <c r="A10" s="2">
        <f>A9</f>
        <v>8</v>
      </c>
      <c r="B10" s="3" t="s">
        <v>267</v>
      </c>
      <c r="C10" s="3" t="s">
        <v>83</v>
      </c>
      <c r="D10" s="3">
        <v>54</v>
      </c>
      <c r="E10" s="3" t="s">
        <v>111</v>
      </c>
      <c r="F10" s="3">
        <v>38</v>
      </c>
      <c r="G10" s="3" t="s">
        <v>15</v>
      </c>
      <c r="H10" s="5">
        <f t="shared" si="2"/>
        <v>2.1315789473684212</v>
      </c>
      <c r="K10" s="2">
        <f t="shared" si="1"/>
        <v>8</v>
      </c>
      <c r="L10" s="3" t="s">
        <v>41</v>
      </c>
      <c r="M10" s="3" t="s">
        <v>30</v>
      </c>
      <c r="N10" s="3">
        <v>102</v>
      </c>
      <c r="O10" s="3">
        <v>38</v>
      </c>
      <c r="P10" s="3" t="s">
        <v>18</v>
      </c>
      <c r="Q10" s="5">
        <f t="shared" si="0"/>
        <v>2.6842105263157894</v>
      </c>
    </row>
    <row r="11" spans="1:17" ht="18.75" customHeight="1" x14ac:dyDescent="0.3">
      <c r="A11" s="2">
        <f>A10</f>
        <v>8</v>
      </c>
      <c r="B11" s="3" t="s">
        <v>112</v>
      </c>
      <c r="C11" s="3" t="s">
        <v>121</v>
      </c>
      <c r="D11" s="3">
        <v>54</v>
      </c>
      <c r="E11" s="3" t="s">
        <v>111</v>
      </c>
      <c r="F11" s="3">
        <v>38</v>
      </c>
      <c r="G11" s="3" t="s">
        <v>15</v>
      </c>
      <c r="H11" s="5">
        <f t="shared" si="2"/>
        <v>2.1315789473684212</v>
      </c>
      <c r="K11" s="2">
        <f t="shared" si="1"/>
        <v>9</v>
      </c>
      <c r="L11" s="3" t="s">
        <v>265</v>
      </c>
      <c r="M11" s="3" t="s">
        <v>150</v>
      </c>
      <c r="N11" s="3">
        <v>89</v>
      </c>
      <c r="O11" s="3">
        <v>34</v>
      </c>
      <c r="P11" s="3" t="s">
        <v>18</v>
      </c>
      <c r="Q11" s="5">
        <f t="shared" si="0"/>
        <v>2.6176470588235294</v>
      </c>
    </row>
    <row r="12" spans="1:17" ht="18.75" customHeight="1" x14ac:dyDescent="0.3">
      <c r="A12" s="2">
        <f>A11</f>
        <v>8</v>
      </c>
      <c r="B12" s="3" t="s">
        <v>266</v>
      </c>
      <c r="C12" s="3" t="s">
        <v>78</v>
      </c>
      <c r="D12" s="3">
        <v>54</v>
      </c>
      <c r="E12" s="3" t="s">
        <v>111</v>
      </c>
      <c r="F12" s="3">
        <v>38</v>
      </c>
      <c r="G12" s="3" t="s">
        <v>15</v>
      </c>
      <c r="H12" s="5">
        <f t="shared" si="2"/>
        <v>2.1315789473684212</v>
      </c>
      <c r="K12" s="2">
        <f t="shared" si="1"/>
        <v>10</v>
      </c>
      <c r="L12" s="3" t="s">
        <v>267</v>
      </c>
      <c r="M12" s="3" t="s">
        <v>77</v>
      </c>
      <c r="N12" s="3">
        <v>88</v>
      </c>
      <c r="O12" s="3">
        <v>34</v>
      </c>
      <c r="P12" s="3" t="s">
        <v>18</v>
      </c>
      <c r="Q12" s="5">
        <f t="shared" si="0"/>
        <v>2.5882352941176472</v>
      </c>
    </row>
    <row r="13" spans="1:17" ht="18.75" customHeight="1" x14ac:dyDescent="0.3">
      <c r="A13" s="2">
        <f>A11</f>
        <v>8</v>
      </c>
      <c r="B13" s="3" t="s">
        <v>267</v>
      </c>
      <c r="C13" s="3" t="s">
        <v>121</v>
      </c>
      <c r="D13" s="3">
        <v>54</v>
      </c>
      <c r="E13" s="3" t="s">
        <v>111</v>
      </c>
      <c r="F13" s="3">
        <v>38</v>
      </c>
      <c r="G13" s="3" t="s">
        <v>44</v>
      </c>
      <c r="H13" s="5">
        <f t="shared" si="2"/>
        <v>2.1315789473684212</v>
      </c>
      <c r="K13" s="2">
        <f>K12</f>
        <v>10</v>
      </c>
      <c r="L13" s="3" t="s">
        <v>267</v>
      </c>
      <c r="M13" s="3" t="s">
        <v>147</v>
      </c>
      <c r="N13" s="3">
        <v>88</v>
      </c>
      <c r="O13" s="3">
        <v>34</v>
      </c>
      <c r="P13" s="3" t="s">
        <v>18</v>
      </c>
      <c r="Q13" s="5">
        <f t="shared" si="0"/>
        <v>2.5882352941176472</v>
      </c>
    </row>
    <row r="14" spans="1:17" ht="18.75" customHeight="1" x14ac:dyDescent="0.3">
      <c r="A14" s="2">
        <f>A12</f>
        <v>8</v>
      </c>
      <c r="B14" s="3" t="s">
        <v>267</v>
      </c>
      <c r="C14" s="3" t="s">
        <v>78</v>
      </c>
      <c r="D14" s="3">
        <v>54</v>
      </c>
      <c r="E14" s="3" t="s">
        <v>111</v>
      </c>
      <c r="F14" s="3">
        <v>38</v>
      </c>
      <c r="G14" s="3" t="s">
        <v>44</v>
      </c>
      <c r="H14" s="5">
        <f t="shared" si="2"/>
        <v>2.1315789473684212</v>
      </c>
    </row>
    <row r="17" spans="1:17" ht="18.75" customHeight="1" x14ac:dyDescent="0.3">
      <c r="A17" s="21" t="s">
        <v>268</v>
      </c>
      <c r="B17" s="20"/>
      <c r="C17" s="20"/>
      <c r="D17" s="20"/>
      <c r="E17" s="20"/>
      <c r="F17" s="20"/>
      <c r="G17" s="20"/>
      <c r="H17" s="20"/>
      <c r="K17" s="21" t="s">
        <v>269</v>
      </c>
      <c r="L17" s="20"/>
      <c r="M17" s="20"/>
      <c r="N17" s="20"/>
      <c r="O17" s="20"/>
      <c r="P17" s="20"/>
      <c r="Q17" s="20"/>
    </row>
    <row r="18" spans="1:17" ht="18.75" customHeight="1" x14ac:dyDescent="0.3">
      <c r="A18" s="2" t="s">
        <v>4</v>
      </c>
      <c r="B18" s="2" t="s">
        <v>5</v>
      </c>
      <c r="C18" s="2" t="s">
        <v>6</v>
      </c>
      <c r="D18" s="2" t="s">
        <v>7</v>
      </c>
      <c r="E18" s="2" t="s">
        <v>62</v>
      </c>
      <c r="F18" s="2" t="s">
        <v>8</v>
      </c>
      <c r="G18" s="2" t="s">
        <v>9</v>
      </c>
      <c r="H18" s="2" t="s">
        <v>10</v>
      </c>
      <c r="K18" s="2" t="s">
        <v>4</v>
      </c>
      <c r="L18" s="2" t="s">
        <v>5</v>
      </c>
      <c r="M18" s="2" t="s">
        <v>6</v>
      </c>
      <c r="N18" s="2" t="s">
        <v>201</v>
      </c>
      <c r="O18" s="2" t="s">
        <v>8</v>
      </c>
      <c r="P18" s="2" t="s">
        <v>9</v>
      </c>
      <c r="Q18" s="2" t="s">
        <v>202</v>
      </c>
    </row>
    <row r="19" spans="1:17" ht="18.75" customHeight="1" x14ac:dyDescent="0.3">
      <c r="A19" s="2">
        <v>1</v>
      </c>
      <c r="B19" s="3" t="s">
        <v>41</v>
      </c>
      <c r="C19" s="3" t="s">
        <v>30</v>
      </c>
      <c r="D19" s="3">
        <v>96</v>
      </c>
      <c r="E19" s="3">
        <v>114</v>
      </c>
      <c r="F19" s="3">
        <v>38</v>
      </c>
      <c r="G19" s="3" t="s">
        <v>18</v>
      </c>
      <c r="H19" s="5">
        <f>D19/F19</f>
        <v>2.5263157894736841</v>
      </c>
      <c r="K19" s="2">
        <f>1</f>
        <v>1</v>
      </c>
      <c r="L19" s="3" t="s">
        <v>41</v>
      </c>
      <c r="M19" s="3" t="s">
        <v>30</v>
      </c>
      <c r="N19" s="3">
        <v>19</v>
      </c>
      <c r="O19" s="3">
        <v>38</v>
      </c>
      <c r="P19" s="3" t="s">
        <v>18</v>
      </c>
      <c r="Q19" s="5">
        <f t="shared" ref="Q19:Q29" si="3">N19/O19</f>
        <v>0.5</v>
      </c>
    </row>
    <row r="20" spans="1:17" ht="18.75" customHeight="1" x14ac:dyDescent="0.3">
      <c r="A20" s="2">
        <f>A19+1</f>
        <v>2</v>
      </c>
      <c r="B20" s="3" t="s">
        <v>41</v>
      </c>
      <c r="C20" s="3" t="s">
        <v>31</v>
      </c>
      <c r="D20" s="3">
        <v>68</v>
      </c>
      <c r="E20" s="3">
        <v>81</v>
      </c>
      <c r="F20" s="3">
        <v>27</v>
      </c>
      <c r="G20" s="3" t="s">
        <v>18</v>
      </c>
      <c r="H20" s="5">
        <f>D20/F20</f>
        <v>2.5185185185185186</v>
      </c>
      <c r="K20" s="2">
        <f>K19+1</f>
        <v>2</v>
      </c>
      <c r="L20" s="3" t="s">
        <v>254</v>
      </c>
      <c r="M20" s="3" t="s">
        <v>154</v>
      </c>
      <c r="N20" s="3">
        <v>21</v>
      </c>
      <c r="O20" s="3">
        <v>38</v>
      </c>
      <c r="P20" s="3" t="s">
        <v>18</v>
      </c>
      <c r="Q20" s="5">
        <f t="shared" si="3"/>
        <v>0.55263157894736847</v>
      </c>
    </row>
    <row r="21" spans="1:17" ht="18.75" customHeight="1" x14ac:dyDescent="0.3">
      <c r="A21" s="2">
        <f>A20+1</f>
        <v>3</v>
      </c>
      <c r="B21" s="3" t="s">
        <v>43</v>
      </c>
      <c r="C21" s="3" t="s">
        <v>25</v>
      </c>
      <c r="D21" s="3">
        <v>95</v>
      </c>
      <c r="E21" s="3">
        <v>114</v>
      </c>
      <c r="F21" s="3">
        <v>38</v>
      </c>
      <c r="G21" s="3" t="s">
        <v>18</v>
      </c>
      <c r="H21" s="5">
        <f>D21/F21</f>
        <v>2.5</v>
      </c>
      <c r="K21" s="2">
        <f>K20+1</f>
        <v>3</v>
      </c>
      <c r="L21" s="3" t="s">
        <v>58</v>
      </c>
      <c r="M21" s="3" t="s">
        <v>49</v>
      </c>
      <c r="N21" s="3">
        <v>22</v>
      </c>
      <c r="O21" s="3">
        <v>38</v>
      </c>
      <c r="P21" s="3" t="s">
        <v>18</v>
      </c>
      <c r="Q21" s="5">
        <f t="shared" si="3"/>
        <v>0.57894736842105265</v>
      </c>
    </row>
    <row r="22" spans="1:17" ht="18.75" customHeight="1" x14ac:dyDescent="0.3">
      <c r="A22" s="2">
        <f>A21+1</f>
        <v>4</v>
      </c>
      <c r="B22" s="3" t="s">
        <v>267</v>
      </c>
      <c r="C22" s="3" t="s">
        <v>77</v>
      </c>
      <c r="D22" s="3">
        <v>56</v>
      </c>
      <c r="E22" s="3" t="s">
        <v>70</v>
      </c>
      <c r="F22" s="3">
        <v>34</v>
      </c>
      <c r="G22" s="3" t="s">
        <v>18</v>
      </c>
      <c r="H22" s="5">
        <f>(D22/68)*3</f>
        <v>2.4705882352941178</v>
      </c>
      <c r="K22" s="2">
        <f>K21</f>
        <v>3</v>
      </c>
      <c r="L22" s="3" t="s">
        <v>41</v>
      </c>
      <c r="M22" s="3" t="s">
        <v>81</v>
      </c>
      <c r="N22" s="3">
        <v>22</v>
      </c>
      <c r="O22" s="3">
        <v>38</v>
      </c>
      <c r="P22" s="3" t="s">
        <v>18</v>
      </c>
      <c r="Q22" s="5">
        <f t="shared" si="3"/>
        <v>0.57894736842105265</v>
      </c>
    </row>
    <row r="23" spans="1:17" ht="18.75" customHeight="1" x14ac:dyDescent="0.3">
      <c r="A23" s="2">
        <f>A22</f>
        <v>4</v>
      </c>
      <c r="B23" s="3" t="s">
        <v>41</v>
      </c>
      <c r="C23" s="3" t="s">
        <v>135</v>
      </c>
      <c r="D23" s="3">
        <v>84</v>
      </c>
      <c r="E23" s="3">
        <v>102</v>
      </c>
      <c r="F23" s="3">
        <v>34</v>
      </c>
      <c r="G23" s="3" t="s">
        <v>18</v>
      </c>
      <c r="H23" s="5">
        <f>(D23/102)*3</f>
        <v>2.4705882352941178</v>
      </c>
      <c r="K23" s="2">
        <f>K21+2</f>
        <v>5</v>
      </c>
      <c r="L23" s="3" t="s">
        <v>41</v>
      </c>
      <c r="M23" s="3" t="s">
        <v>40</v>
      </c>
      <c r="N23" s="3">
        <v>23</v>
      </c>
      <c r="O23" s="3">
        <v>38</v>
      </c>
      <c r="P23" s="3" t="s">
        <v>18</v>
      </c>
      <c r="Q23" s="5">
        <f t="shared" si="3"/>
        <v>0.60526315789473684</v>
      </c>
    </row>
    <row r="24" spans="1:17" ht="18.75" customHeight="1" x14ac:dyDescent="0.3">
      <c r="A24" s="2">
        <f>A23+2</f>
        <v>6</v>
      </c>
      <c r="B24" s="3" t="s">
        <v>41</v>
      </c>
      <c r="C24" s="3" t="s">
        <v>29</v>
      </c>
      <c r="D24" s="3">
        <v>93</v>
      </c>
      <c r="E24" s="3">
        <v>114</v>
      </c>
      <c r="F24" s="3">
        <v>38</v>
      </c>
      <c r="G24" s="3" t="s">
        <v>18</v>
      </c>
      <c r="H24" s="5">
        <f>D24/F24</f>
        <v>2.4473684210526314</v>
      </c>
      <c r="K24" s="2">
        <f>K25</f>
        <v>5</v>
      </c>
      <c r="L24" s="3" t="s">
        <v>41</v>
      </c>
      <c r="M24" s="3" t="s">
        <v>27</v>
      </c>
      <c r="N24" s="3">
        <v>23</v>
      </c>
      <c r="O24" s="3">
        <v>38</v>
      </c>
      <c r="P24" s="3" t="s">
        <v>18</v>
      </c>
      <c r="Q24" s="5">
        <f t="shared" si="3"/>
        <v>0.60526315789473684</v>
      </c>
    </row>
    <row r="25" spans="1:17" ht="18.75" customHeight="1" x14ac:dyDescent="0.3">
      <c r="A25" s="2">
        <f>A24+1</f>
        <v>7</v>
      </c>
      <c r="B25" s="3" t="s">
        <v>41</v>
      </c>
      <c r="C25" s="3" t="s">
        <v>14</v>
      </c>
      <c r="D25" s="3">
        <v>91</v>
      </c>
      <c r="E25" s="3">
        <v>114</v>
      </c>
      <c r="F25" s="3">
        <v>38</v>
      </c>
      <c r="G25" s="3" t="s">
        <v>18</v>
      </c>
      <c r="H25" s="5">
        <f>D25/F25</f>
        <v>2.3947368421052633</v>
      </c>
      <c r="K25" s="2">
        <f>K23</f>
        <v>5</v>
      </c>
      <c r="L25" s="3" t="s">
        <v>259</v>
      </c>
      <c r="M25" s="3" t="s">
        <v>32</v>
      </c>
      <c r="N25" s="3">
        <v>23</v>
      </c>
      <c r="O25" s="3">
        <v>38</v>
      </c>
      <c r="P25" s="3" t="s">
        <v>18</v>
      </c>
      <c r="Q25" s="5">
        <f t="shared" si="3"/>
        <v>0.60526315789473684</v>
      </c>
    </row>
    <row r="26" spans="1:17" ht="18.75" customHeight="1" x14ac:dyDescent="0.3">
      <c r="A26" s="2">
        <f>A25+1</f>
        <v>8</v>
      </c>
      <c r="B26" s="3" t="s">
        <v>266</v>
      </c>
      <c r="C26" s="3" t="s">
        <v>270</v>
      </c>
      <c r="D26" s="3">
        <v>60</v>
      </c>
      <c r="E26" s="3" t="s">
        <v>111</v>
      </c>
      <c r="F26" s="3">
        <v>38</v>
      </c>
      <c r="G26" s="3" t="s">
        <v>18</v>
      </c>
      <c r="H26" s="5">
        <f>(D26/76)*3</f>
        <v>2.3684210526315788</v>
      </c>
      <c r="K26" s="2">
        <f>K25+3</f>
        <v>8</v>
      </c>
      <c r="L26" s="3" t="s">
        <v>43</v>
      </c>
      <c r="M26" s="3" t="s">
        <v>271</v>
      </c>
      <c r="N26" s="3">
        <v>24</v>
      </c>
      <c r="O26" s="3">
        <v>38</v>
      </c>
      <c r="P26" s="3" t="s">
        <v>44</v>
      </c>
      <c r="Q26" s="5">
        <f t="shared" si="3"/>
        <v>0.63157894736842102</v>
      </c>
    </row>
    <row r="27" spans="1:17" ht="18.75" customHeight="1" x14ac:dyDescent="0.3">
      <c r="A27" s="2">
        <f>A26</f>
        <v>8</v>
      </c>
      <c r="B27" s="3" t="s">
        <v>265</v>
      </c>
      <c r="C27" s="3" t="s">
        <v>68</v>
      </c>
      <c r="D27" s="3">
        <v>60</v>
      </c>
      <c r="E27" s="3" t="s">
        <v>111</v>
      </c>
      <c r="F27" s="3">
        <v>38</v>
      </c>
      <c r="G27" s="3" t="s">
        <v>18</v>
      </c>
      <c r="H27" s="5">
        <f>(D27/76)*3</f>
        <v>2.3684210526315788</v>
      </c>
      <c r="K27" s="2">
        <f>K26+1</f>
        <v>9</v>
      </c>
      <c r="L27" s="3" t="s">
        <v>260</v>
      </c>
      <c r="M27" s="3" t="s">
        <v>37</v>
      </c>
      <c r="N27" s="3">
        <v>25</v>
      </c>
      <c r="O27" s="3">
        <v>38</v>
      </c>
      <c r="P27" s="3" t="s">
        <v>15</v>
      </c>
      <c r="Q27" s="5">
        <f t="shared" si="3"/>
        <v>0.65789473684210531</v>
      </c>
    </row>
    <row r="28" spans="1:17" ht="18.75" customHeight="1" x14ac:dyDescent="0.3">
      <c r="A28" s="2">
        <f>A26+2</f>
        <v>10</v>
      </c>
      <c r="B28" s="3" t="s">
        <v>41</v>
      </c>
      <c r="C28" s="3" t="s">
        <v>40</v>
      </c>
      <c r="D28" s="3">
        <v>89</v>
      </c>
      <c r="E28" s="3">
        <v>114</v>
      </c>
      <c r="F28" s="3">
        <v>38</v>
      </c>
      <c r="G28" s="3" t="s">
        <v>18</v>
      </c>
      <c r="H28" s="5">
        <f>D28/F28</f>
        <v>2.3421052631578947</v>
      </c>
      <c r="K28" s="2">
        <f>K27</f>
        <v>9</v>
      </c>
      <c r="L28" s="3" t="s">
        <v>260</v>
      </c>
      <c r="M28" s="3" t="s">
        <v>271</v>
      </c>
      <c r="N28" s="3">
        <v>25</v>
      </c>
      <c r="O28" s="3">
        <v>38</v>
      </c>
      <c r="P28" s="3" t="s">
        <v>15</v>
      </c>
      <c r="Q28" s="5">
        <f t="shared" si="3"/>
        <v>0.65789473684210531</v>
      </c>
    </row>
    <row r="29" spans="1:17" ht="18.75" customHeight="1" x14ac:dyDescent="0.3">
      <c r="A29" s="6"/>
      <c r="B29" s="6"/>
      <c r="C29" s="6"/>
      <c r="D29" s="6"/>
      <c r="E29" s="6"/>
      <c r="F29" s="6"/>
      <c r="G29" s="6"/>
      <c r="H29" s="6"/>
      <c r="K29" s="2">
        <f>K27</f>
        <v>9</v>
      </c>
      <c r="L29" s="3" t="s">
        <v>260</v>
      </c>
      <c r="M29" s="3" t="s">
        <v>272</v>
      </c>
      <c r="N29" s="3">
        <v>25</v>
      </c>
      <c r="O29" s="3">
        <v>38</v>
      </c>
      <c r="P29" s="3" t="s">
        <v>98</v>
      </c>
      <c r="Q29" s="5">
        <f t="shared" si="3"/>
        <v>0.65789473684210531</v>
      </c>
    </row>
    <row r="30" spans="1:17" ht="18.75" customHeight="1" x14ac:dyDescent="0.3">
      <c r="H30" s="6"/>
    </row>
    <row r="31" spans="1:17" ht="18.75" customHeight="1" x14ac:dyDescent="0.3">
      <c r="H31" s="6"/>
    </row>
    <row r="32" spans="1:17" ht="18.75" customHeight="1" x14ac:dyDescent="0.3">
      <c r="H32" s="6"/>
    </row>
    <row r="33" spans="8:8" ht="18.75" customHeight="1" x14ac:dyDescent="0.3">
      <c r="H33" s="6"/>
    </row>
    <row r="34" spans="8:8" ht="18.75" customHeight="1" x14ac:dyDescent="0.3">
      <c r="H34" s="6"/>
    </row>
    <row r="35" spans="8:8" ht="18.75" customHeight="1" x14ac:dyDescent="0.3">
      <c r="H35" s="6"/>
    </row>
    <row r="36" spans="8:8" ht="18.75" customHeight="1" x14ac:dyDescent="0.3">
      <c r="H36" s="6"/>
    </row>
    <row r="37" spans="8:8" ht="18.75" customHeight="1" x14ac:dyDescent="0.3">
      <c r="H37" s="6"/>
    </row>
    <row r="38" spans="8:8" ht="18.75" customHeight="1" x14ac:dyDescent="0.3">
      <c r="H38" s="6"/>
    </row>
  </sheetData>
  <mergeCells count="4">
    <mergeCell ref="A1:H1"/>
    <mergeCell ref="K1:Q1"/>
    <mergeCell ref="K17:Q17"/>
    <mergeCell ref="A17:H17"/>
  </mergeCells>
  <conditionalFormatting sqref="H3:H14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8"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3"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9">
    <cfRule type="colorScale" priority="1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36"/>
  <sheetViews>
    <sheetView topLeftCell="E8" workbookViewId="0">
      <selection activeCell="L22" sqref="L22"/>
    </sheetView>
  </sheetViews>
  <sheetFormatPr baseColWidth="10" defaultRowHeight="15" x14ac:dyDescent="0.25"/>
  <cols>
    <col min="1" max="1" width="11.7109375" customWidth="1"/>
    <col min="2" max="2" width="28.28515625" bestFit="1" customWidth="1"/>
    <col min="3" max="3" width="16.5703125" customWidth="1"/>
    <col min="4" max="4" width="14" bestFit="1" customWidth="1"/>
    <col min="5" max="5" width="30.7109375" bestFit="1" customWidth="1"/>
    <col min="6" max="6" width="23.42578125" bestFit="1" customWidth="1"/>
    <col min="7" max="7" width="16.7109375" customWidth="1"/>
    <col min="8" max="8" width="31.28515625" customWidth="1"/>
    <col min="11" max="11" width="13" customWidth="1"/>
    <col min="12" max="12" width="28.28515625" bestFit="1" customWidth="1"/>
    <col min="13" max="13" width="15.7109375" customWidth="1"/>
    <col min="14" max="14" width="19" bestFit="1" customWidth="1"/>
    <col min="15" max="15" width="23.42578125" bestFit="1" customWidth="1"/>
    <col min="16" max="16" width="15.28515625" customWidth="1"/>
    <col min="17" max="17" width="33.5703125" bestFit="1" customWidth="1"/>
  </cols>
  <sheetData>
    <row r="1" spans="1:17" ht="18.75" customHeight="1" x14ac:dyDescent="0.3">
      <c r="A1" s="21" t="s">
        <v>273</v>
      </c>
      <c r="B1" s="20"/>
      <c r="C1" s="20"/>
      <c r="D1" s="20"/>
      <c r="E1" s="20"/>
      <c r="F1" s="20"/>
      <c r="G1" s="20"/>
      <c r="H1" s="20"/>
      <c r="K1" s="21" t="s">
        <v>274</v>
      </c>
      <c r="L1" s="20"/>
      <c r="M1" s="20"/>
      <c r="N1" s="20"/>
      <c r="O1" s="20"/>
      <c r="P1" s="20"/>
      <c r="Q1" s="20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10</v>
      </c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</row>
    <row r="3" spans="1:17" ht="18.75" customHeight="1" x14ac:dyDescent="0.3">
      <c r="A3" s="2">
        <v>1</v>
      </c>
      <c r="B3" s="3" t="s">
        <v>105</v>
      </c>
      <c r="C3" s="3" t="s">
        <v>106</v>
      </c>
      <c r="D3" s="3">
        <v>47</v>
      </c>
      <c r="E3" s="3" t="s">
        <v>66</v>
      </c>
      <c r="F3" s="3">
        <v>30</v>
      </c>
      <c r="G3" s="3" t="s">
        <v>15</v>
      </c>
      <c r="H3" s="3">
        <f>(D3/60)*3</f>
        <v>2.35</v>
      </c>
      <c r="K3" s="2">
        <v>1</v>
      </c>
      <c r="L3" s="3" t="s">
        <v>112</v>
      </c>
      <c r="M3" s="3" t="s">
        <v>106</v>
      </c>
      <c r="N3" s="3">
        <v>94</v>
      </c>
      <c r="O3" s="3">
        <v>30</v>
      </c>
      <c r="P3" s="3" t="s">
        <v>18</v>
      </c>
      <c r="Q3" s="5">
        <f t="shared" ref="Q3:Q18" si="0">N3/O3</f>
        <v>3.1333333333333333</v>
      </c>
    </row>
    <row r="4" spans="1:17" ht="18.75" customHeight="1" x14ac:dyDescent="0.3">
      <c r="A4" s="2">
        <f>A3+1</f>
        <v>2</v>
      </c>
      <c r="B4" s="3" t="s">
        <v>41</v>
      </c>
      <c r="C4" s="3" t="s">
        <v>25</v>
      </c>
      <c r="D4" s="3">
        <v>87</v>
      </c>
      <c r="E4" s="3">
        <v>114</v>
      </c>
      <c r="F4" s="3">
        <v>38</v>
      </c>
      <c r="G4" s="3" t="s">
        <v>15</v>
      </c>
      <c r="H4" s="5">
        <f>D4/F4</f>
        <v>2.2894736842105261</v>
      </c>
      <c r="K4" s="2">
        <f t="shared" ref="K4:K13" si="1">K3+1</f>
        <v>2</v>
      </c>
      <c r="L4" s="3" t="s">
        <v>67</v>
      </c>
      <c r="M4" s="3" t="s">
        <v>68</v>
      </c>
      <c r="N4" s="3">
        <v>118</v>
      </c>
      <c r="O4" s="3">
        <v>38</v>
      </c>
      <c r="P4" s="3" t="s">
        <v>44</v>
      </c>
      <c r="Q4" s="5">
        <f t="shared" si="0"/>
        <v>3.1052631578947367</v>
      </c>
    </row>
    <row r="5" spans="1:17" ht="18.75" customHeight="1" x14ac:dyDescent="0.3">
      <c r="A5" s="2">
        <f>A4+1</f>
        <v>3</v>
      </c>
      <c r="B5" s="3" t="s">
        <v>264</v>
      </c>
      <c r="C5" s="3" t="s">
        <v>72</v>
      </c>
      <c r="D5" s="3">
        <v>56</v>
      </c>
      <c r="E5" s="3" t="s">
        <v>111</v>
      </c>
      <c r="F5" s="3">
        <v>38</v>
      </c>
      <c r="G5" s="3" t="s">
        <v>15</v>
      </c>
      <c r="H5" s="5">
        <f>(D5/76)*3</f>
        <v>2.2105263157894735</v>
      </c>
      <c r="K5" s="2">
        <f t="shared" si="1"/>
        <v>3</v>
      </c>
      <c r="L5" s="3" t="s">
        <v>259</v>
      </c>
      <c r="M5" s="3" t="s">
        <v>177</v>
      </c>
      <c r="N5" s="3">
        <v>102</v>
      </c>
      <c r="O5" s="3">
        <v>34</v>
      </c>
      <c r="P5" s="3" t="s">
        <v>15</v>
      </c>
      <c r="Q5" s="5">
        <f t="shared" si="0"/>
        <v>3</v>
      </c>
    </row>
    <row r="6" spans="1:17" ht="18.75" customHeight="1" x14ac:dyDescent="0.3">
      <c r="A6" s="2">
        <f>A5</f>
        <v>3</v>
      </c>
      <c r="B6" s="3" t="s">
        <v>253</v>
      </c>
      <c r="C6" s="3" t="s">
        <v>54</v>
      </c>
      <c r="D6" s="3">
        <v>84</v>
      </c>
      <c r="E6" s="3">
        <v>114</v>
      </c>
      <c r="F6" s="3">
        <v>38</v>
      </c>
      <c r="G6" s="3" t="s">
        <v>15</v>
      </c>
      <c r="H6" s="5">
        <f>D6/F6</f>
        <v>2.2105263157894739</v>
      </c>
      <c r="K6" s="2">
        <f t="shared" si="1"/>
        <v>4</v>
      </c>
      <c r="L6" s="3" t="s">
        <v>265</v>
      </c>
      <c r="M6" s="3" t="s">
        <v>68</v>
      </c>
      <c r="N6" s="3">
        <v>109</v>
      </c>
      <c r="O6" s="3">
        <v>38</v>
      </c>
      <c r="P6" s="3" t="s">
        <v>18</v>
      </c>
      <c r="Q6" s="5">
        <f t="shared" si="0"/>
        <v>2.8684210526315788</v>
      </c>
    </row>
    <row r="7" spans="1:17" ht="18.75" customHeight="1" x14ac:dyDescent="0.3">
      <c r="A7" s="2">
        <f>A6+2</f>
        <v>5</v>
      </c>
      <c r="B7" s="3" t="s">
        <v>266</v>
      </c>
      <c r="C7" s="3" t="s">
        <v>156</v>
      </c>
      <c r="D7" s="3">
        <v>55</v>
      </c>
      <c r="E7" s="3" t="s">
        <v>111</v>
      </c>
      <c r="F7" s="3">
        <v>38</v>
      </c>
      <c r="G7" s="3" t="s">
        <v>15</v>
      </c>
      <c r="H7" s="5">
        <f>(D7/76)*3</f>
        <v>2.1710526315789473</v>
      </c>
      <c r="K7" s="2">
        <f t="shared" si="1"/>
        <v>5</v>
      </c>
      <c r="L7" s="3" t="s">
        <v>41</v>
      </c>
      <c r="M7" s="3" t="s">
        <v>29</v>
      </c>
      <c r="N7" s="3">
        <v>108</v>
      </c>
      <c r="O7" s="3">
        <v>38</v>
      </c>
      <c r="P7" s="3" t="s">
        <v>18</v>
      </c>
      <c r="Q7" s="5">
        <f t="shared" si="0"/>
        <v>2.8421052631578947</v>
      </c>
    </row>
    <row r="8" spans="1:17" ht="18.75" customHeight="1" x14ac:dyDescent="0.3">
      <c r="A8" s="2">
        <f>A7</f>
        <v>5</v>
      </c>
      <c r="B8" s="3" t="s">
        <v>266</v>
      </c>
      <c r="C8" s="3" t="s">
        <v>86</v>
      </c>
      <c r="D8" s="3">
        <v>55</v>
      </c>
      <c r="E8" s="3" t="s">
        <v>111</v>
      </c>
      <c r="F8" s="3">
        <v>38</v>
      </c>
      <c r="G8" s="3" t="s">
        <v>15</v>
      </c>
      <c r="H8" s="5">
        <f>(D8/76)*3</f>
        <v>2.1710526315789473</v>
      </c>
      <c r="K8" s="2">
        <f t="shared" si="1"/>
        <v>6</v>
      </c>
      <c r="L8" s="3" t="s">
        <v>43</v>
      </c>
      <c r="M8" s="3" t="s">
        <v>29</v>
      </c>
      <c r="N8" s="3">
        <v>107</v>
      </c>
      <c r="O8" s="3">
        <v>38</v>
      </c>
      <c r="P8" s="3" t="s">
        <v>18</v>
      </c>
      <c r="Q8" s="5">
        <f t="shared" si="0"/>
        <v>2.8157894736842106</v>
      </c>
    </row>
    <row r="9" spans="1:17" ht="18.75" customHeight="1" x14ac:dyDescent="0.3">
      <c r="A9" s="2">
        <f>A8+2</f>
        <v>7</v>
      </c>
      <c r="B9" s="3" t="s">
        <v>41</v>
      </c>
      <c r="C9" s="3" t="s">
        <v>32</v>
      </c>
      <c r="D9" s="3">
        <v>82</v>
      </c>
      <c r="E9" s="3">
        <v>114</v>
      </c>
      <c r="F9" s="3">
        <v>38</v>
      </c>
      <c r="G9" s="3" t="s">
        <v>15</v>
      </c>
      <c r="H9" s="5">
        <f>D9/F9</f>
        <v>2.1578947368421053</v>
      </c>
      <c r="K9" s="2">
        <f t="shared" si="1"/>
        <v>7</v>
      </c>
      <c r="L9" s="3" t="s">
        <v>254</v>
      </c>
      <c r="M9" s="3" t="s">
        <v>177</v>
      </c>
      <c r="N9" s="3">
        <v>95</v>
      </c>
      <c r="O9" s="3">
        <v>34</v>
      </c>
      <c r="P9" s="3" t="s">
        <v>44</v>
      </c>
      <c r="Q9" s="5">
        <f t="shared" si="0"/>
        <v>2.7941176470588234</v>
      </c>
    </row>
    <row r="10" spans="1:17" ht="18.75" customHeight="1" x14ac:dyDescent="0.3">
      <c r="A10" s="2">
        <f>A9+1</f>
        <v>8</v>
      </c>
      <c r="B10" s="3" t="s">
        <v>43</v>
      </c>
      <c r="C10" s="3" t="s">
        <v>153</v>
      </c>
      <c r="D10" s="3">
        <v>54</v>
      </c>
      <c r="E10" s="3" t="s">
        <v>111</v>
      </c>
      <c r="F10" s="3">
        <v>38</v>
      </c>
      <c r="G10" s="3" t="s">
        <v>15</v>
      </c>
      <c r="H10" s="5">
        <f t="shared" ref="H10:H15" si="2">(D10/76)*3</f>
        <v>2.1315789473684212</v>
      </c>
      <c r="K10" s="2">
        <f t="shared" si="1"/>
        <v>8</v>
      </c>
      <c r="L10" s="3" t="s">
        <v>41</v>
      </c>
      <c r="M10" s="3" t="s">
        <v>31</v>
      </c>
      <c r="N10" s="3">
        <v>75</v>
      </c>
      <c r="O10" s="3">
        <v>27</v>
      </c>
      <c r="P10" s="3" t="s">
        <v>18</v>
      </c>
      <c r="Q10" s="5">
        <f t="shared" si="0"/>
        <v>2.7777777777777777</v>
      </c>
    </row>
    <row r="11" spans="1:17" ht="18.75" customHeight="1" x14ac:dyDescent="0.3">
      <c r="A11" s="2">
        <f>A10</f>
        <v>8</v>
      </c>
      <c r="B11" s="3" t="s">
        <v>267</v>
      </c>
      <c r="C11" s="3" t="s">
        <v>83</v>
      </c>
      <c r="D11" s="3">
        <v>54</v>
      </c>
      <c r="E11" s="3" t="s">
        <v>111</v>
      </c>
      <c r="F11" s="3">
        <v>38</v>
      </c>
      <c r="G11" s="3" t="s">
        <v>15</v>
      </c>
      <c r="H11" s="5">
        <f t="shared" si="2"/>
        <v>2.1315789473684212</v>
      </c>
      <c r="K11" s="2">
        <f t="shared" si="1"/>
        <v>9</v>
      </c>
      <c r="L11" s="3" t="s">
        <v>41</v>
      </c>
      <c r="M11" s="3" t="s">
        <v>14</v>
      </c>
      <c r="N11" s="3">
        <v>105</v>
      </c>
      <c r="O11" s="3">
        <v>38</v>
      </c>
      <c r="P11" s="3" t="s">
        <v>18</v>
      </c>
      <c r="Q11" s="5">
        <f t="shared" si="0"/>
        <v>2.763157894736842</v>
      </c>
    </row>
    <row r="12" spans="1:17" ht="18.75" customHeight="1" x14ac:dyDescent="0.3">
      <c r="A12" s="2">
        <f>A11</f>
        <v>8</v>
      </c>
      <c r="B12" s="3" t="s">
        <v>112</v>
      </c>
      <c r="C12" s="3" t="s">
        <v>121</v>
      </c>
      <c r="D12" s="3">
        <v>54</v>
      </c>
      <c r="E12" s="3" t="s">
        <v>111</v>
      </c>
      <c r="F12" s="3">
        <v>38</v>
      </c>
      <c r="G12" s="3" t="s">
        <v>15</v>
      </c>
      <c r="H12" s="5">
        <f t="shared" si="2"/>
        <v>2.1315789473684212</v>
      </c>
      <c r="K12" s="2">
        <f t="shared" si="1"/>
        <v>10</v>
      </c>
      <c r="L12" s="3" t="s">
        <v>41</v>
      </c>
      <c r="M12" s="3" t="s">
        <v>135</v>
      </c>
      <c r="N12" s="3">
        <v>92</v>
      </c>
      <c r="O12" s="3">
        <v>34</v>
      </c>
      <c r="P12" s="3" t="s">
        <v>18</v>
      </c>
      <c r="Q12" s="5">
        <f t="shared" si="0"/>
        <v>2.7058823529411766</v>
      </c>
    </row>
    <row r="13" spans="1:17" ht="18.75" customHeight="1" x14ac:dyDescent="0.3">
      <c r="A13" s="2">
        <f>A12</f>
        <v>8</v>
      </c>
      <c r="B13" s="3" t="s">
        <v>266</v>
      </c>
      <c r="C13" s="3" t="s">
        <v>78</v>
      </c>
      <c r="D13" s="3">
        <v>54</v>
      </c>
      <c r="E13" s="3" t="s">
        <v>111</v>
      </c>
      <c r="F13" s="3">
        <v>38</v>
      </c>
      <c r="G13" s="3" t="s">
        <v>15</v>
      </c>
      <c r="H13" s="5">
        <f t="shared" si="2"/>
        <v>2.1315789473684212</v>
      </c>
      <c r="K13" s="2">
        <f t="shared" si="1"/>
        <v>11</v>
      </c>
      <c r="L13" s="3" t="s">
        <v>67</v>
      </c>
      <c r="M13" s="3" t="s">
        <v>190</v>
      </c>
      <c r="N13" s="3">
        <v>81</v>
      </c>
      <c r="O13" s="3">
        <v>30</v>
      </c>
      <c r="P13" s="3" t="s">
        <v>18</v>
      </c>
      <c r="Q13" s="5">
        <f t="shared" si="0"/>
        <v>2.7</v>
      </c>
    </row>
    <row r="14" spans="1:17" ht="18.75" customHeight="1" x14ac:dyDescent="0.3">
      <c r="A14" s="2">
        <f>A12</f>
        <v>8</v>
      </c>
      <c r="B14" s="3" t="s">
        <v>267</v>
      </c>
      <c r="C14" s="3" t="s">
        <v>121</v>
      </c>
      <c r="D14" s="3">
        <v>54</v>
      </c>
      <c r="E14" s="3" t="s">
        <v>111</v>
      </c>
      <c r="F14" s="3">
        <v>38</v>
      </c>
      <c r="G14" s="3" t="s">
        <v>44</v>
      </c>
      <c r="H14" s="5">
        <f t="shared" si="2"/>
        <v>2.1315789473684212</v>
      </c>
      <c r="K14" s="2">
        <f>K13</f>
        <v>11</v>
      </c>
      <c r="L14" s="3" t="s">
        <v>112</v>
      </c>
      <c r="M14" s="3" t="s">
        <v>190</v>
      </c>
      <c r="N14" s="3">
        <v>81</v>
      </c>
      <c r="O14" s="3">
        <v>30</v>
      </c>
      <c r="P14" s="3" t="s">
        <v>98</v>
      </c>
      <c r="Q14" s="5">
        <f t="shared" si="0"/>
        <v>2.7</v>
      </c>
    </row>
    <row r="15" spans="1:17" ht="18.75" customHeight="1" x14ac:dyDescent="0.3">
      <c r="A15" s="2">
        <f>A13</f>
        <v>8</v>
      </c>
      <c r="B15" s="3" t="s">
        <v>267</v>
      </c>
      <c r="C15" s="3" t="s">
        <v>78</v>
      </c>
      <c r="D15" s="3">
        <v>54</v>
      </c>
      <c r="E15" s="3" t="s">
        <v>111</v>
      </c>
      <c r="F15" s="3">
        <v>38</v>
      </c>
      <c r="G15" s="3" t="s">
        <v>44</v>
      </c>
      <c r="H15" s="5">
        <f t="shared" si="2"/>
        <v>2.1315789473684212</v>
      </c>
      <c r="K15" s="2">
        <f>K14+2</f>
        <v>13</v>
      </c>
      <c r="L15" s="3" t="s">
        <v>275</v>
      </c>
      <c r="M15" s="3" t="s">
        <v>99</v>
      </c>
      <c r="N15" s="3">
        <v>70</v>
      </c>
      <c r="O15" s="3">
        <v>26</v>
      </c>
      <c r="P15" s="3" t="s">
        <v>98</v>
      </c>
      <c r="Q15" s="5">
        <f t="shared" si="0"/>
        <v>2.6923076923076925</v>
      </c>
    </row>
    <row r="16" spans="1:17" ht="18.75" customHeight="1" x14ac:dyDescent="0.3">
      <c r="A16" s="2">
        <f>A15+6</f>
        <v>14</v>
      </c>
      <c r="B16" s="3" t="s">
        <v>43</v>
      </c>
      <c r="C16" s="3" t="s">
        <v>40</v>
      </c>
      <c r="D16" s="3">
        <v>80</v>
      </c>
      <c r="E16" s="3">
        <v>114</v>
      </c>
      <c r="F16" s="3">
        <v>38</v>
      </c>
      <c r="G16" s="3" t="s">
        <v>15</v>
      </c>
      <c r="H16" s="5">
        <f>D16/F16</f>
        <v>2.1052631578947367</v>
      </c>
      <c r="K16" s="2">
        <f>K15+1</f>
        <v>14</v>
      </c>
      <c r="L16" s="3" t="s">
        <v>41</v>
      </c>
      <c r="M16" s="3" t="s">
        <v>30</v>
      </c>
      <c r="N16" s="3">
        <v>102</v>
      </c>
      <c r="O16" s="3">
        <v>38</v>
      </c>
      <c r="P16" s="3" t="s">
        <v>18</v>
      </c>
      <c r="Q16" s="5">
        <f t="shared" si="0"/>
        <v>2.6842105263157894</v>
      </c>
    </row>
    <row r="17" spans="1:17" ht="18.75" customHeight="1" x14ac:dyDescent="0.3">
      <c r="A17" s="2">
        <f>A16</f>
        <v>14</v>
      </c>
      <c r="B17" s="3" t="s">
        <v>43</v>
      </c>
      <c r="C17" s="3" t="s">
        <v>29</v>
      </c>
      <c r="D17" s="3">
        <v>80</v>
      </c>
      <c r="E17" s="3">
        <v>114</v>
      </c>
      <c r="F17" s="3">
        <v>38</v>
      </c>
      <c r="G17" s="3" t="s">
        <v>15</v>
      </c>
      <c r="H17" s="5">
        <f>D17/F17</f>
        <v>2.1052631578947367</v>
      </c>
      <c r="K17" s="2">
        <f>K16+1</f>
        <v>15</v>
      </c>
      <c r="L17" s="3" t="s">
        <v>276</v>
      </c>
      <c r="M17" s="3" t="s">
        <v>99</v>
      </c>
      <c r="N17" s="3">
        <v>69</v>
      </c>
      <c r="O17" s="3">
        <v>26</v>
      </c>
      <c r="P17" s="3" t="s">
        <v>18</v>
      </c>
      <c r="Q17" s="5">
        <f t="shared" si="0"/>
        <v>2.6538461538461537</v>
      </c>
    </row>
    <row r="18" spans="1:17" ht="18.75" customHeight="1" x14ac:dyDescent="0.3">
      <c r="K18" s="2">
        <f>K17</f>
        <v>15</v>
      </c>
      <c r="L18" s="3" t="s">
        <v>254</v>
      </c>
      <c r="M18" s="3" t="s">
        <v>99</v>
      </c>
      <c r="N18" s="3">
        <v>69</v>
      </c>
      <c r="O18" s="3">
        <v>26</v>
      </c>
      <c r="P18" s="3" t="s">
        <v>44</v>
      </c>
      <c r="Q18" s="5">
        <f t="shared" si="0"/>
        <v>2.6538461538461537</v>
      </c>
    </row>
    <row r="20" spans="1:17" ht="18.75" customHeight="1" x14ac:dyDescent="0.3">
      <c r="A20" s="21" t="s">
        <v>277</v>
      </c>
      <c r="B20" s="20"/>
      <c r="C20" s="20"/>
      <c r="D20" s="20"/>
      <c r="E20" s="20"/>
      <c r="F20" s="20"/>
      <c r="G20" s="20"/>
      <c r="H20" s="20"/>
      <c r="K20" s="21" t="s">
        <v>278</v>
      </c>
      <c r="L20" s="20"/>
      <c r="M20" s="20"/>
      <c r="N20" s="20"/>
      <c r="O20" s="20"/>
      <c r="P20" s="20"/>
      <c r="Q20" s="20"/>
    </row>
    <row r="21" spans="1:17" ht="18.75" customHeight="1" x14ac:dyDescent="0.3">
      <c r="A21" s="2" t="s">
        <v>4</v>
      </c>
      <c r="B21" s="2" t="s">
        <v>5</v>
      </c>
      <c r="C21" s="2" t="s">
        <v>6</v>
      </c>
      <c r="D21" s="2" t="s">
        <v>7</v>
      </c>
      <c r="E21" s="2" t="s">
        <v>62</v>
      </c>
      <c r="F21" s="2" t="s">
        <v>8</v>
      </c>
      <c r="G21" s="2" t="s">
        <v>9</v>
      </c>
      <c r="H21" s="2" t="s">
        <v>10</v>
      </c>
      <c r="K21" s="2" t="s">
        <v>4</v>
      </c>
      <c r="L21" s="2" t="s">
        <v>5</v>
      </c>
      <c r="M21" s="2" t="s">
        <v>6</v>
      </c>
      <c r="N21" s="2" t="s">
        <v>201</v>
      </c>
      <c r="O21" s="2" t="s">
        <v>8</v>
      </c>
      <c r="P21" s="2" t="s">
        <v>9</v>
      </c>
      <c r="Q21" s="2" t="s">
        <v>202</v>
      </c>
    </row>
    <row r="22" spans="1:17" ht="18.75" customHeight="1" x14ac:dyDescent="0.3">
      <c r="A22" s="2">
        <v>1</v>
      </c>
      <c r="B22" s="3" t="s">
        <v>41</v>
      </c>
      <c r="C22" s="3" t="s">
        <v>30</v>
      </c>
      <c r="D22" s="3">
        <v>96</v>
      </c>
      <c r="E22" s="3">
        <v>114</v>
      </c>
      <c r="F22" s="3">
        <v>38</v>
      </c>
      <c r="G22" s="3" t="s">
        <v>18</v>
      </c>
      <c r="H22" s="5">
        <f>D22/F22</f>
        <v>2.5263157894736841</v>
      </c>
      <c r="K22" s="2">
        <f>1</f>
        <v>1</v>
      </c>
      <c r="L22" s="3" t="s">
        <v>41</v>
      </c>
      <c r="M22" s="3" t="s">
        <v>30</v>
      </c>
      <c r="N22" s="3">
        <v>19</v>
      </c>
      <c r="O22" s="3">
        <v>38</v>
      </c>
      <c r="P22" s="3" t="s">
        <v>18</v>
      </c>
      <c r="Q22" s="5">
        <f t="shared" ref="Q22:Q36" si="3">N22/O22</f>
        <v>0.5</v>
      </c>
    </row>
    <row r="23" spans="1:17" ht="18.75" customHeight="1" x14ac:dyDescent="0.3">
      <c r="A23" s="2">
        <f>A22+1</f>
        <v>2</v>
      </c>
      <c r="B23" s="3" t="s">
        <v>41</v>
      </c>
      <c r="C23" s="3" t="s">
        <v>31</v>
      </c>
      <c r="D23" s="3">
        <v>68</v>
      </c>
      <c r="E23" s="3">
        <v>81</v>
      </c>
      <c r="F23" s="3">
        <v>27</v>
      </c>
      <c r="G23" s="3" t="s">
        <v>18</v>
      </c>
      <c r="H23" s="5">
        <f>D23/F23</f>
        <v>2.5185185185185186</v>
      </c>
      <c r="K23" s="2">
        <f>K22+1</f>
        <v>2</v>
      </c>
      <c r="L23" s="3" t="s">
        <v>254</v>
      </c>
      <c r="M23" s="3" t="s">
        <v>154</v>
      </c>
      <c r="N23" s="3">
        <v>21</v>
      </c>
      <c r="O23" s="3">
        <v>38</v>
      </c>
      <c r="P23" s="3" t="s">
        <v>18</v>
      </c>
      <c r="Q23" s="5">
        <f t="shared" si="3"/>
        <v>0.55263157894736847</v>
      </c>
    </row>
    <row r="24" spans="1:17" ht="18.75" customHeight="1" x14ac:dyDescent="0.3">
      <c r="A24" s="2">
        <f>A23+1</f>
        <v>3</v>
      </c>
      <c r="B24" s="3" t="s">
        <v>43</v>
      </c>
      <c r="C24" s="3" t="s">
        <v>25</v>
      </c>
      <c r="D24" s="3">
        <v>95</v>
      </c>
      <c r="E24" s="3">
        <v>114</v>
      </c>
      <c r="F24" s="3">
        <v>38</v>
      </c>
      <c r="G24" s="3" t="s">
        <v>18</v>
      </c>
      <c r="H24" s="5">
        <f>D24/F24</f>
        <v>2.5</v>
      </c>
      <c r="K24" s="2">
        <f>K23+1</f>
        <v>3</v>
      </c>
      <c r="L24" s="3" t="s">
        <v>58</v>
      </c>
      <c r="M24" s="3" t="s">
        <v>49</v>
      </c>
      <c r="N24" s="3">
        <v>22</v>
      </c>
      <c r="O24" s="3">
        <v>38</v>
      </c>
      <c r="P24" s="3" t="s">
        <v>18</v>
      </c>
      <c r="Q24" s="5">
        <f t="shared" si="3"/>
        <v>0.57894736842105265</v>
      </c>
    </row>
    <row r="25" spans="1:17" ht="18.75" customHeight="1" x14ac:dyDescent="0.3">
      <c r="A25" s="2">
        <f>A24+1</f>
        <v>4</v>
      </c>
      <c r="B25" s="3" t="s">
        <v>267</v>
      </c>
      <c r="C25" s="3" t="s">
        <v>77</v>
      </c>
      <c r="D25" s="3">
        <v>56</v>
      </c>
      <c r="E25" s="3" t="s">
        <v>70</v>
      </c>
      <c r="F25" s="3">
        <v>34</v>
      </c>
      <c r="G25" s="3" t="s">
        <v>18</v>
      </c>
      <c r="H25" s="5">
        <f>(D25/68)*3</f>
        <v>2.4705882352941178</v>
      </c>
      <c r="K25" s="2">
        <f>K24</f>
        <v>3</v>
      </c>
      <c r="L25" s="3" t="s">
        <v>41</v>
      </c>
      <c r="M25" s="3" t="s">
        <v>81</v>
      </c>
      <c r="N25" s="3">
        <v>22</v>
      </c>
      <c r="O25" s="3">
        <v>38</v>
      </c>
      <c r="P25" s="3" t="s">
        <v>18</v>
      </c>
      <c r="Q25" s="5">
        <f t="shared" si="3"/>
        <v>0.57894736842105265</v>
      </c>
    </row>
    <row r="26" spans="1:17" ht="18.75" customHeight="1" x14ac:dyDescent="0.3">
      <c r="A26" s="2">
        <f>A25</f>
        <v>4</v>
      </c>
      <c r="B26" s="3" t="s">
        <v>41</v>
      </c>
      <c r="C26" s="3" t="s">
        <v>135</v>
      </c>
      <c r="D26" s="3">
        <v>84</v>
      </c>
      <c r="E26" s="3">
        <v>102</v>
      </c>
      <c r="F26" s="3">
        <v>34</v>
      </c>
      <c r="G26" s="3" t="s">
        <v>18</v>
      </c>
      <c r="H26" s="5">
        <f>D26/F26</f>
        <v>2.4705882352941178</v>
      </c>
      <c r="K26" s="2">
        <f>K24+2</f>
        <v>5</v>
      </c>
      <c r="L26" s="3" t="s">
        <v>41</v>
      </c>
      <c r="M26" s="3" t="s">
        <v>40</v>
      </c>
      <c r="N26" s="3">
        <v>23</v>
      </c>
      <c r="O26" s="3">
        <v>38</v>
      </c>
      <c r="P26" s="3" t="s">
        <v>18</v>
      </c>
      <c r="Q26" s="5">
        <f t="shared" si="3"/>
        <v>0.60526315789473684</v>
      </c>
    </row>
    <row r="27" spans="1:17" ht="18.75" customHeight="1" x14ac:dyDescent="0.3">
      <c r="A27" s="2">
        <f>A26+2</f>
        <v>6</v>
      </c>
      <c r="B27" s="3" t="s">
        <v>41</v>
      </c>
      <c r="C27" s="3" t="s">
        <v>29</v>
      </c>
      <c r="D27" s="3">
        <v>93</v>
      </c>
      <c r="E27" s="3">
        <v>114</v>
      </c>
      <c r="F27" s="3">
        <v>38</v>
      </c>
      <c r="G27" s="3" t="s">
        <v>18</v>
      </c>
      <c r="H27" s="5">
        <f>D27/F27</f>
        <v>2.4473684210526314</v>
      </c>
      <c r="K27" s="2">
        <f>K28</f>
        <v>5</v>
      </c>
      <c r="L27" s="3" t="s">
        <v>41</v>
      </c>
      <c r="M27" s="3" t="s">
        <v>27</v>
      </c>
      <c r="N27" s="3">
        <v>23</v>
      </c>
      <c r="O27" s="3">
        <v>38</v>
      </c>
      <c r="P27" s="3" t="s">
        <v>18</v>
      </c>
      <c r="Q27" s="5">
        <f t="shared" si="3"/>
        <v>0.60526315789473684</v>
      </c>
    </row>
    <row r="28" spans="1:17" ht="18.75" customHeight="1" x14ac:dyDescent="0.3">
      <c r="A28" s="2">
        <f>A27+1</f>
        <v>7</v>
      </c>
      <c r="B28" s="3" t="s">
        <v>112</v>
      </c>
      <c r="C28" s="3" t="s">
        <v>106</v>
      </c>
      <c r="D28" s="3">
        <v>48</v>
      </c>
      <c r="E28" s="3" t="s">
        <v>66</v>
      </c>
      <c r="F28" s="3">
        <v>30</v>
      </c>
      <c r="G28" s="3" t="s">
        <v>18</v>
      </c>
      <c r="H28" s="5">
        <f>(D28/60)*3</f>
        <v>2.4000000000000004</v>
      </c>
      <c r="K28" s="2">
        <f>K26</f>
        <v>5</v>
      </c>
      <c r="L28" s="3" t="s">
        <v>259</v>
      </c>
      <c r="M28" s="3" t="s">
        <v>32</v>
      </c>
      <c r="N28" s="3">
        <v>23</v>
      </c>
      <c r="O28" s="3">
        <v>38</v>
      </c>
      <c r="P28" s="3" t="s">
        <v>18</v>
      </c>
      <c r="Q28" s="5">
        <f t="shared" si="3"/>
        <v>0.60526315789473684</v>
      </c>
    </row>
    <row r="29" spans="1:17" ht="18.75" customHeight="1" x14ac:dyDescent="0.3">
      <c r="A29" s="2">
        <f>A28+1</f>
        <v>8</v>
      </c>
      <c r="B29" s="3" t="s">
        <v>41</v>
      </c>
      <c r="C29" s="3" t="s">
        <v>14</v>
      </c>
      <c r="D29" s="3">
        <v>91</v>
      </c>
      <c r="E29" s="3">
        <v>114</v>
      </c>
      <c r="F29" s="3">
        <v>38</v>
      </c>
      <c r="G29" s="3" t="s">
        <v>18</v>
      </c>
      <c r="H29" s="5">
        <f>D29/F29</f>
        <v>2.3947368421052633</v>
      </c>
      <c r="K29" s="2">
        <f>K28+3</f>
        <v>8</v>
      </c>
      <c r="L29" s="3" t="s">
        <v>43</v>
      </c>
      <c r="M29" s="3" t="s">
        <v>271</v>
      </c>
      <c r="N29" s="3">
        <v>24</v>
      </c>
      <c r="O29" s="3">
        <v>38</v>
      </c>
      <c r="P29" s="3" t="s">
        <v>44</v>
      </c>
      <c r="Q29" s="5">
        <f t="shared" si="3"/>
        <v>0.63157894736842102</v>
      </c>
    </row>
    <row r="30" spans="1:17" ht="18.75" customHeight="1" x14ac:dyDescent="0.3">
      <c r="A30" s="2">
        <f>A29+1</f>
        <v>9</v>
      </c>
      <c r="B30" s="3" t="s">
        <v>275</v>
      </c>
      <c r="C30" s="3" t="s">
        <v>96</v>
      </c>
      <c r="D30" s="3">
        <v>31</v>
      </c>
      <c r="E30" s="3" t="s">
        <v>279</v>
      </c>
      <c r="F30" s="3">
        <v>13</v>
      </c>
      <c r="G30" s="3" t="s">
        <v>18</v>
      </c>
      <c r="H30" s="5">
        <f>(D30/39)*3</f>
        <v>2.3846153846153846</v>
      </c>
      <c r="K30" s="2">
        <f>K29+1</f>
        <v>9</v>
      </c>
      <c r="L30" s="3" t="s">
        <v>259</v>
      </c>
      <c r="M30" s="3" t="s">
        <v>280</v>
      </c>
      <c r="N30" s="3">
        <v>22</v>
      </c>
      <c r="O30" s="3">
        <v>34</v>
      </c>
      <c r="P30" s="3" t="s">
        <v>18</v>
      </c>
      <c r="Q30" s="5">
        <f t="shared" si="3"/>
        <v>0.6470588235294118</v>
      </c>
    </row>
    <row r="31" spans="1:17" ht="18.75" customHeight="1" x14ac:dyDescent="0.3">
      <c r="A31" s="2">
        <f>A30+1</f>
        <v>10</v>
      </c>
      <c r="B31" s="3" t="s">
        <v>266</v>
      </c>
      <c r="C31" s="3" t="s">
        <v>270</v>
      </c>
      <c r="D31" s="3">
        <v>60</v>
      </c>
      <c r="E31" s="3" t="s">
        <v>111</v>
      </c>
      <c r="F31" s="3">
        <v>38</v>
      </c>
      <c r="G31" s="3" t="s">
        <v>18</v>
      </c>
      <c r="H31" s="5">
        <f>(D31/76)*3</f>
        <v>2.3684210526315788</v>
      </c>
      <c r="K31" s="2">
        <f>K30+1</f>
        <v>10</v>
      </c>
      <c r="L31" s="3" t="s">
        <v>260</v>
      </c>
      <c r="M31" s="3" t="s">
        <v>37</v>
      </c>
      <c r="N31" s="3">
        <v>25</v>
      </c>
      <c r="O31" s="3">
        <v>38</v>
      </c>
      <c r="P31" s="3" t="s">
        <v>15</v>
      </c>
      <c r="Q31" s="5">
        <f t="shared" si="3"/>
        <v>0.65789473684210531</v>
      </c>
    </row>
    <row r="32" spans="1:17" ht="18.75" customHeight="1" x14ac:dyDescent="0.3">
      <c r="A32" s="2">
        <f>A31</f>
        <v>10</v>
      </c>
      <c r="B32" s="3" t="s">
        <v>265</v>
      </c>
      <c r="C32" s="3" t="s">
        <v>68</v>
      </c>
      <c r="D32" s="3">
        <v>60</v>
      </c>
      <c r="E32" s="3" t="s">
        <v>111</v>
      </c>
      <c r="F32" s="3">
        <v>38</v>
      </c>
      <c r="G32" s="3" t="s">
        <v>18</v>
      </c>
      <c r="H32" s="5">
        <f>(D32/76)*3</f>
        <v>2.3684210526315788</v>
      </c>
      <c r="K32" s="2">
        <f>K31</f>
        <v>10</v>
      </c>
      <c r="L32" s="3" t="s">
        <v>260</v>
      </c>
      <c r="M32" s="3" t="s">
        <v>271</v>
      </c>
      <c r="N32" s="3">
        <v>25</v>
      </c>
      <c r="O32" s="3">
        <v>38</v>
      </c>
      <c r="P32" s="3" t="s">
        <v>15</v>
      </c>
      <c r="Q32" s="5">
        <f t="shared" si="3"/>
        <v>0.65789473684210531</v>
      </c>
    </row>
    <row r="33" spans="1:17" ht="18.75" customHeight="1" x14ac:dyDescent="0.3">
      <c r="A33" s="2">
        <f>A32+2</f>
        <v>12</v>
      </c>
      <c r="B33" s="3" t="s">
        <v>105</v>
      </c>
      <c r="C33" s="3" t="s">
        <v>106</v>
      </c>
      <c r="D33" s="3">
        <v>47</v>
      </c>
      <c r="E33" s="3" t="s">
        <v>66</v>
      </c>
      <c r="F33" s="3">
        <v>30</v>
      </c>
      <c r="G33" s="3" t="s">
        <v>15</v>
      </c>
      <c r="H33" s="5">
        <f>(D33/60)*3</f>
        <v>2.35</v>
      </c>
      <c r="K33" s="2">
        <f>K31</f>
        <v>10</v>
      </c>
      <c r="L33" s="3" t="s">
        <v>260</v>
      </c>
      <c r="M33" s="3" t="s">
        <v>272</v>
      </c>
      <c r="N33" s="3">
        <v>25</v>
      </c>
      <c r="O33" s="3">
        <v>38</v>
      </c>
      <c r="P33" s="3" t="s">
        <v>98</v>
      </c>
      <c r="Q33" s="5">
        <f t="shared" si="3"/>
        <v>0.65789473684210531</v>
      </c>
    </row>
    <row r="34" spans="1:17" ht="18.75" customHeight="1" x14ac:dyDescent="0.3">
      <c r="A34" s="2">
        <f>A33+1</f>
        <v>13</v>
      </c>
      <c r="B34" s="3" t="s">
        <v>41</v>
      </c>
      <c r="C34" s="3" t="s">
        <v>40</v>
      </c>
      <c r="D34" s="3">
        <v>89</v>
      </c>
      <c r="E34" s="3">
        <v>114</v>
      </c>
      <c r="F34" s="3">
        <v>38</v>
      </c>
      <c r="G34" s="3" t="s">
        <v>18</v>
      </c>
      <c r="H34" s="5">
        <f>D34/F34</f>
        <v>2.3421052631578947</v>
      </c>
      <c r="K34" s="2">
        <f>K33+3</f>
        <v>13</v>
      </c>
      <c r="L34" s="3" t="s">
        <v>58</v>
      </c>
      <c r="M34" s="3" t="s">
        <v>57</v>
      </c>
      <c r="N34" s="3">
        <v>26</v>
      </c>
      <c r="O34" s="3">
        <v>38</v>
      </c>
      <c r="P34" s="3" t="s">
        <v>18</v>
      </c>
      <c r="Q34" s="5">
        <f t="shared" si="3"/>
        <v>0.68421052631578949</v>
      </c>
    </row>
    <row r="35" spans="1:17" ht="18.75" customHeight="1" x14ac:dyDescent="0.3">
      <c r="A35" s="2">
        <f>A34</f>
        <v>13</v>
      </c>
      <c r="B35" s="3" t="s">
        <v>267</v>
      </c>
      <c r="C35" s="3" t="s">
        <v>80</v>
      </c>
      <c r="D35" s="3">
        <v>53</v>
      </c>
      <c r="E35" s="3" t="s">
        <v>70</v>
      </c>
      <c r="F35" s="3">
        <v>34</v>
      </c>
      <c r="G35" s="3" t="s">
        <v>18</v>
      </c>
      <c r="H35" s="5">
        <f>(D35/68)*3</f>
        <v>2.3382352941176472</v>
      </c>
      <c r="K35" s="2">
        <f>K34</f>
        <v>13</v>
      </c>
      <c r="L35" s="3" t="s">
        <v>267</v>
      </c>
      <c r="M35" s="3" t="s">
        <v>86</v>
      </c>
      <c r="N35" s="3">
        <v>26</v>
      </c>
      <c r="O35" s="3">
        <v>38</v>
      </c>
      <c r="P35" s="3" t="s">
        <v>18</v>
      </c>
      <c r="Q35" s="5">
        <f t="shared" si="3"/>
        <v>0.68421052631578949</v>
      </c>
    </row>
    <row r="36" spans="1:17" ht="18.75" customHeight="1" x14ac:dyDescent="0.3">
      <c r="A36" s="2">
        <f>A35</f>
        <v>13</v>
      </c>
      <c r="B36" s="3" t="s">
        <v>281</v>
      </c>
      <c r="C36" s="3" t="s">
        <v>176</v>
      </c>
      <c r="D36" s="3">
        <v>53</v>
      </c>
      <c r="E36" s="3" t="s">
        <v>70</v>
      </c>
      <c r="F36" s="3">
        <v>34</v>
      </c>
      <c r="G36" s="3" t="s">
        <v>18</v>
      </c>
      <c r="H36" s="5">
        <f>(D36/68)*3</f>
        <v>2.3382352941176472</v>
      </c>
      <c r="K36" s="2">
        <f>K35</f>
        <v>13</v>
      </c>
      <c r="L36" s="3" t="s">
        <v>41</v>
      </c>
      <c r="M36" s="3" t="s">
        <v>85</v>
      </c>
      <c r="N36" s="3">
        <v>26</v>
      </c>
      <c r="O36" s="3">
        <v>38</v>
      </c>
      <c r="P36" s="3" t="s">
        <v>15</v>
      </c>
      <c r="Q36" s="5">
        <f t="shared" si="3"/>
        <v>0.68421052631578949</v>
      </c>
    </row>
  </sheetData>
  <mergeCells count="4">
    <mergeCell ref="A1:H1"/>
    <mergeCell ref="A20:H20"/>
    <mergeCell ref="K20:Q20"/>
    <mergeCell ref="K1:Q1"/>
  </mergeCells>
  <conditionalFormatting sqref="H3:H17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15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17"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6:H17"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2:H35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2:H3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6"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8"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2:Q33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22:Q36">
    <cfRule type="colorScale" priority="2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4:Q36">
    <cfRule type="colorScale" priority="2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Z109"/>
  <sheetViews>
    <sheetView zoomScaleNormal="100" workbookViewId="0">
      <selection activeCell="D19" sqref="D19"/>
    </sheetView>
  </sheetViews>
  <sheetFormatPr baseColWidth="10" defaultRowHeight="15" x14ac:dyDescent="0.25"/>
  <cols>
    <col min="2" max="2" width="19.7109375" customWidth="1"/>
    <col min="3" max="3" width="15.85546875" customWidth="1"/>
    <col min="4" max="4" width="14.140625" customWidth="1"/>
    <col min="5" max="5" width="23.42578125" bestFit="1" customWidth="1"/>
    <col min="6" max="6" width="13.85546875" bestFit="1" customWidth="1"/>
    <col min="7" max="7" width="28.42578125" bestFit="1" customWidth="1"/>
    <col min="10" max="10" width="12.7109375" customWidth="1"/>
    <col min="11" max="11" width="19.140625" customWidth="1"/>
    <col min="12" max="12" width="17.140625" customWidth="1"/>
    <col min="13" max="13" width="19" bestFit="1" customWidth="1"/>
    <col min="14" max="14" width="22.42578125" bestFit="1" customWidth="1"/>
    <col min="15" max="15" width="13.85546875" bestFit="1" customWidth="1"/>
    <col min="16" max="16" width="33.5703125" bestFit="1" customWidth="1"/>
  </cols>
  <sheetData>
    <row r="1" spans="1:78" ht="18.75" customHeight="1" x14ac:dyDescent="0.3">
      <c r="A1" s="21" t="s">
        <v>282</v>
      </c>
      <c r="B1" s="20"/>
      <c r="C1" s="20"/>
      <c r="D1" s="20"/>
      <c r="E1" s="20"/>
      <c r="F1" s="20"/>
      <c r="G1" s="20"/>
      <c r="H1" s="1"/>
      <c r="I1" s="1"/>
      <c r="J1" s="21" t="s">
        <v>283</v>
      </c>
      <c r="K1" s="20"/>
      <c r="L1" s="20"/>
      <c r="M1" s="20"/>
      <c r="N1" s="20"/>
      <c r="O1" s="20"/>
      <c r="P1" s="20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78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1"/>
      <c r="I2" s="1"/>
      <c r="J2" s="2" t="s">
        <v>4</v>
      </c>
      <c r="K2" s="2" t="s">
        <v>5</v>
      </c>
      <c r="L2" s="2" t="s">
        <v>6</v>
      </c>
      <c r="M2" s="2" t="s">
        <v>11</v>
      </c>
      <c r="N2" s="2" t="s">
        <v>8</v>
      </c>
      <c r="O2" s="2" t="s">
        <v>9</v>
      </c>
      <c r="P2" s="2" t="s">
        <v>12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</row>
    <row r="3" spans="1:78" ht="18.75" customHeight="1" x14ac:dyDescent="0.3">
      <c r="A3" s="2">
        <v>1</v>
      </c>
      <c r="B3" s="3" t="s">
        <v>19</v>
      </c>
      <c r="C3" s="3" t="s">
        <v>20</v>
      </c>
      <c r="D3" s="3">
        <v>96</v>
      </c>
      <c r="E3" s="3">
        <v>38</v>
      </c>
      <c r="F3" s="3" t="s">
        <v>15</v>
      </c>
      <c r="G3" s="5">
        <f t="shared" ref="G3:G13" si="0">D3/E3</f>
        <v>2.5263157894736841</v>
      </c>
      <c r="H3" s="1"/>
      <c r="I3" s="1"/>
      <c r="J3" s="2">
        <v>1</v>
      </c>
      <c r="K3" s="3" t="s">
        <v>19</v>
      </c>
      <c r="L3" s="3" t="s">
        <v>21</v>
      </c>
      <c r="M3" s="3">
        <v>121</v>
      </c>
      <c r="N3" s="3">
        <v>38</v>
      </c>
      <c r="O3" s="3" t="s">
        <v>18</v>
      </c>
      <c r="P3" s="5">
        <f t="shared" ref="P3:P12" si="1">M3/N3</f>
        <v>3.1842105263157894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</row>
    <row r="4" spans="1:78" ht="18.75" customHeight="1" x14ac:dyDescent="0.3">
      <c r="A4" s="2">
        <f>A3+1</f>
        <v>2</v>
      </c>
      <c r="B4" s="3" t="s">
        <v>19</v>
      </c>
      <c r="C4" s="3" t="s">
        <v>22</v>
      </c>
      <c r="D4" s="3">
        <v>92</v>
      </c>
      <c r="E4" s="3">
        <v>38</v>
      </c>
      <c r="F4" s="3" t="s">
        <v>15</v>
      </c>
      <c r="G4" s="5">
        <f t="shared" si="0"/>
        <v>2.4210526315789473</v>
      </c>
      <c r="H4" s="1"/>
      <c r="I4" s="1"/>
      <c r="J4" s="2">
        <f t="shared" ref="J4:J9" si="2">J3+1</f>
        <v>2</v>
      </c>
      <c r="K4" s="3" t="s">
        <v>19</v>
      </c>
      <c r="L4" s="3" t="s">
        <v>23</v>
      </c>
      <c r="M4" s="3">
        <v>118</v>
      </c>
      <c r="N4" s="3">
        <v>38</v>
      </c>
      <c r="O4" s="3" t="s">
        <v>15</v>
      </c>
      <c r="P4" s="5">
        <f t="shared" si="1"/>
        <v>3.1052631578947367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</row>
    <row r="5" spans="1:78" ht="18.75" customHeight="1" x14ac:dyDescent="0.3">
      <c r="A5" s="2">
        <f>A4</f>
        <v>2</v>
      </c>
      <c r="B5" s="3" t="s">
        <v>19</v>
      </c>
      <c r="C5" s="3" t="s">
        <v>23</v>
      </c>
      <c r="D5" s="3">
        <v>92</v>
      </c>
      <c r="E5" s="3">
        <v>38</v>
      </c>
      <c r="F5" s="3" t="s">
        <v>15</v>
      </c>
      <c r="G5" s="5">
        <f t="shared" si="0"/>
        <v>2.4210526315789473</v>
      </c>
      <c r="H5" s="1"/>
      <c r="I5" s="1"/>
      <c r="J5" s="2">
        <f t="shared" si="2"/>
        <v>3</v>
      </c>
      <c r="K5" s="3" t="s">
        <v>24</v>
      </c>
      <c r="L5" s="3" t="s">
        <v>25</v>
      </c>
      <c r="M5" s="3">
        <v>116</v>
      </c>
      <c r="N5" s="3">
        <v>38</v>
      </c>
      <c r="O5" s="3" t="s">
        <v>15</v>
      </c>
      <c r="P5" s="5">
        <f t="shared" si="1"/>
        <v>3.0526315789473686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</row>
    <row r="6" spans="1:78" ht="18.75" customHeight="1" x14ac:dyDescent="0.3">
      <c r="A6" s="2">
        <f>A5+2</f>
        <v>4</v>
      </c>
      <c r="B6" s="3" t="s">
        <v>24</v>
      </c>
      <c r="C6" s="3" t="s">
        <v>21</v>
      </c>
      <c r="D6" s="3">
        <v>91</v>
      </c>
      <c r="E6" s="3">
        <v>38</v>
      </c>
      <c r="F6" s="3" t="s">
        <v>15</v>
      </c>
      <c r="G6" s="5">
        <f t="shared" si="0"/>
        <v>2.3947368421052633</v>
      </c>
      <c r="H6" s="1"/>
      <c r="I6" s="1"/>
      <c r="J6" s="2">
        <f t="shared" si="2"/>
        <v>4</v>
      </c>
      <c r="K6" s="3" t="s">
        <v>24</v>
      </c>
      <c r="L6" s="3" t="s">
        <v>27</v>
      </c>
      <c r="M6" s="3">
        <v>115</v>
      </c>
      <c r="N6" s="3">
        <v>38</v>
      </c>
      <c r="O6" s="3" t="s">
        <v>18</v>
      </c>
      <c r="P6" s="5">
        <f t="shared" si="1"/>
        <v>3.0263157894736841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</row>
    <row r="7" spans="1:78" ht="18.75" customHeight="1" x14ac:dyDescent="0.3">
      <c r="A7" s="2">
        <f>A6+1</f>
        <v>5</v>
      </c>
      <c r="B7" s="3" t="s">
        <v>24</v>
      </c>
      <c r="C7" s="3" t="s">
        <v>25</v>
      </c>
      <c r="D7" s="3">
        <v>90</v>
      </c>
      <c r="E7" s="3">
        <v>38</v>
      </c>
      <c r="F7" s="3" t="s">
        <v>15</v>
      </c>
      <c r="G7" s="5">
        <f t="shared" si="0"/>
        <v>2.3684210526315788</v>
      </c>
      <c r="H7" s="1"/>
      <c r="I7" s="1"/>
      <c r="J7" s="2">
        <f t="shared" si="2"/>
        <v>5</v>
      </c>
      <c r="K7" s="3" t="s">
        <v>24</v>
      </c>
      <c r="L7" s="3" t="s">
        <v>21</v>
      </c>
      <c r="M7" s="3">
        <v>114</v>
      </c>
      <c r="N7" s="3">
        <v>38</v>
      </c>
      <c r="O7" s="3" t="s">
        <v>15</v>
      </c>
      <c r="P7" s="5">
        <f t="shared" si="1"/>
        <v>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</row>
    <row r="8" spans="1:78" ht="18.75" customHeight="1" x14ac:dyDescent="0.3">
      <c r="A8" s="2">
        <f>A7</f>
        <v>5</v>
      </c>
      <c r="B8" s="3" t="s">
        <v>19</v>
      </c>
      <c r="C8" s="3" t="s">
        <v>30</v>
      </c>
      <c r="D8" s="3">
        <v>90</v>
      </c>
      <c r="E8" s="3">
        <v>38</v>
      </c>
      <c r="F8" s="3" t="s">
        <v>15</v>
      </c>
      <c r="G8" s="5">
        <f t="shared" si="0"/>
        <v>2.3684210526315788</v>
      </c>
      <c r="H8" s="1"/>
      <c r="I8" s="1"/>
      <c r="J8" s="2">
        <f t="shared" si="2"/>
        <v>6</v>
      </c>
      <c r="K8" s="3" t="s">
        <v>24</v>
      </c>
      <c r="L8" s="3" t="s">
        <v>30</v>
      </c>
      <c r="M8" s="3">
        <v>112</v>
      </c>
      <c r="N8" s="3">
        <v>38</v>
      </c>
      <c r="O8" s="3" t="s">
        <v>18</v>
      </c>
      <c r="P8" s="5">
        <f t="shared" si="1"/>
        <v>2.9473684210526314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</row>
    <row r="9" spans="1:78" ht="18.75" customHeight="1" x14ac:dyDescent="0.3">
      <c r="A9" s="2">
        <f>A8+2</f>
        <v>7</v>
      </c>
      <c r="B9" s="3" t="s">
        <v>24</v>
      </c>
      <c r="C9" s="3" t="s">
        <v>40</v>
      </c>
      <c r="D9" s="3">
        <v>87</v>
      </c>
      <c r="E9" s="3">
        <v>38</v>
      </c>
      <c r="F9" s="3" t="s">
        <v>15</v>
      </c>
      <c r="G9" s="5">
        <f t="shared" si="0"/>
        <v>2.2894736842105261</v>
      </c>
      <c r="H9" s="1"/>
      <c r="I9" s="1"/>
      <c r="J9" s="2">
        <f t="shared" si="2"/>
        <v>7</v>
      </c>
      <c r="K9" s="3" t="s">
        <v>24</v>
      </c>
      <c r="L9" s="3" t="s">
        <v>23</v>
      </c>
      <c r="M9" s="3">
        <v>110</v>
      </c>
      <c r="N9" s="3">
        <v>38</v>
      </c>
      <c r="O9" s="3" t="s">
        <v>18</v>
      </c>
      <c r="P9" s="5">
        <f t="shared" si="1"/>
        <v>2.8947368421052633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</row>
    <row r="10" spans="1:78" ht="18.75" customHeight="1" x14ac:dyDescent="0.3">
      <c r="A10" s="2">
        <f>A9</f>
        <v>7</v>
      </c>
      <c r="B10" s="3" t="s">
        <v>19</v>
      </c>
      <c r="C10" s="3" t="s">
        <v>40</v>
      </c>
      <c r="D10" s="3">
        <v>87</v>
      </c>
      <c r="E10" s="3">
        <v>38</v>
      </c>
      <c r="F10" s="3" t="s">
        <v>44</v>
      </c>
      <c r="G10" s="5">
        <f t="shared" si="0"/>
        <v>2.2894736842105261</v>
      </c>
      <c r="H10" s="1"/>
      <c r="I10" s="1"/>
      <c r="J10" s="2">
        <f>J9</f>
        <v>7</v>
      </c>
      <c r="K10" s="3" t="s">
        <v>19</v>
      </c>
      <c r="L10" s="3" t="s">
        <v>30</v>
      </c>
      <c r="M10" s="3">
        <v>110</v>
      </c>
      <c r="N10" s="3">
        <v>38</v>
      </c>
      <c r="O10" s="3" t="s">
        <v>15</v>
      </c>
      <c r="P10" s="5">
        <f t="shared" si="1"/>
        <v>2.8947368421052633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</row>
    <row r="11" spans="1:78" ht="18.75" customHeight="1" x14ac:dyDescent="0.3">
      <c r="A11" s="2">
        <f>A10+2</f>
        <v>9</v>
      </c>
      <c r="B11" s="3" t="s">
        <v>19</v>
      </c>
      <c r="C11" s="3" t="s">
        <v>17</v>
      </c>
      <c r="D11" s="3">
        <v>86</v>
      </c>
      <c r="E11" s="3">
        <v>38</v>
      </c>
      <c r="F11" s="3" t="s">
        <v>15</v>
      </c>
      <c r="G11" s="5">
        <f t="shared" si="0"/>
        <v>2.263157894736842</v>
      </c>
      <c r="H11" s="1"/>
      <c r="I11" s="1"/>
      <c r="J11" s="2">
        <f>J10+2</f>
        <v>9</v>
      </c>
      <c r="K11" s="3" t="s">
        <v>19</v>
      </c>
      <c r="L11" s="3" t="s">
        <v>25</v>
      </c>
      <c r="M11" s="3">
        <v>106</v>
      </c>
      <c r="N11" s="3">
        <v>38</v>
      </c>
      <c r="O11" s="3" t="s">
        <v>18</v>
      </c>
      <c r="P11" s="5">
        <f t="shared" si="1"/>
        <v>2.7894736842105261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</row>
    <row r="12" spans="1:78" ht="18.75" customHeight="1" x14ac:dyDescent="0.3">
      <c r="A12" s="2">
        <f>A11+1</f>
        <v>10</v>
      </c>
      <c r="B12" s="3" t="s">
        <v>19</v>
      </c>
      <c r="C12" s="3" t="s">
        <v>27</v>
      </c>
      <c r="D12" s="3">
        <v>85</v>
      </c>
      <c r="E12" s="3">
        <v>38</v>
      </c>
      <c r="F12" s="3" t="s">
        <v>15</v>
      </c>
      <c r="G12" s="5">
        <f t="shared" si="0"/>
        <v>2.236842105263158</v>
      </c>
      <c r="H12" s="1"/>
      <c r="I12" s="1"/>
      <c r="J12" s="2">
        <f>J11+1</f>
        <v>10</v>
      </c>
      <c r="K12" s="3" t="s">
        <v>24</v>
      </c>
      <c r="L12" s="3" t="s">
        <v>197</v>
      </c>
      <c r="M12" s="3">
        <v>105</v>
      </c>
      <c r="N12" s="3">
        <v>38</v>
      </c>
      <c r="O12" s="3" t="s">
        <v>18</v>
      </c>
      <c r="P12" s="5">
        <f t="shared" si="1"/>
        <v>2.763157894736842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</row>
    <row r="13" spans="1:78" ht="18.75" customHeight="1" x14ac:dyDescent="0.3">
      <c r="A13" s="2">
        <f>A12</f>
        <v>10</v>
      </c>
      <c r="B13" s="3" t="s">
        <v>24</v>
      </c>
      <c r="C13" s="3" t="s">
        <v>35</v>
      </c>
      <c r="D13" s="3">
        <v>85</v>
      </c>
      <c r="E13" s="3">
        <v>38</v>
      </c>
      <c r="F13" s="3" t="s">
        <v>15</v>
      </c>
      <c r="G13" s="5">
        <f t="shared" si="0"/>
        <v>2.236842105263158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</row>
    <row r="14" spans="1:78" ht="18.75" x14ac:dyDescent="0.3"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</row>
    <row r="15" spans="1:78" ht="18.75" customHeight="1" x14ac:dyDescent="0.3">
      <c r="A15" s="21" t="s">
        <v>284</v>
      </c>
      <c r="B15" s="20"/>
      <c r="C15" s="20"/>
      <c r="D15" s="20"/>
      <c r="E15" s="20"/>
      <c r="F15" s="20"/>
      <c r="G15" s="20"/>
      <c r="H15" s="1"/>
      <c r="I15" s="1"/>
      <c r="J15" s="21" t="s">
        <v>285</v>
      </c>
      <c r="K15" s="20"/>
      <c r="L15" s="20"/>
      <c r="M15" s="20"/>
      <c r="N15" s="20"/>
      <c r="O15" s="20"/>
      <c r="P15" s="20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</row>
    <row r="16" spans="1:78" ht="18.75" customHeight="1" x14ac:dyDescent="0.3">
      <c r="A16" s="2" t="s">
        <v>4</v>
      </c>
      <c r="B16" s="2" t="s">
        <v>5</v>
      </c>
      <c r="C16" s="2" t="s">
        <v>6</v>
      </c>
      <c r="D16" s="2" t="s">
        <v>7</v>
      </c>
      <c r="E16" s="2" t="s">
        <v>8</v>
      </c>
      <c r="F16" s="2" t="s">
        <v>9</v>
      </c>
      <c r="G16" s="2" t="s">
        <v>10</v>
      </c>
      <c r="H16" s="1"/>
      <c r="I16" s="1"/>
      <c r="J16" s="2" t="s">
        <v>4</v>
      </c>
      <c r="K16" s="2" t="s">
        <v>5</v>
      </c>
      <c r="L16" s="2" t="s">
        <v>6</v>
      </c>
      <c r="M16" s="2" t="s">
        <v>201</v>
      </c>
      <c r="N16" s="2" t="s">
        <v>8</v>
      </c>
      <c r="O16" s="2" t="s">
        <v>9</v>
      </c>
      <c r="P16" s="2" t="s">
        <v>202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</row>
    <row r="17" spans="1:78" ht="18.75" customHeight="1" x14ac:dyDescent="0.3">
      <c r="A17" s="2">
        <v>1</v>
      </c>
      <c r="B17" s="3" t="s">
        <v>24</v>
      </c>
      <c r="C17" s="3" t="s">
        <v>27</v>
      </c>
      <c r="D17" s="3">
        <v>100</v>
      </c>
      <c r="E17" s="3">
        <v>38</v>
      </c>
      <c r="F17" s="3" t="s">
        <v>18</v>
      </c>
      <c r="G17" s="5">
        <f t="shared" ref="G17:G26" si="3">D17/E17</f>
        <v>2.6315789473684212</v>
      </c>
      <c r="H17" s="1"/>
      <c r="I17" s="1"/>
      <c r="J17" s="2">
        <v>1</v>
      </c>
      <c r="K17" s="3" t="s">
        <v>370</v>
      </c>
      <c r="L17" s="3" t="s">
        <v>30</v>
      </c>
      <c r="M17" s="3">
        <v>18</v>
      </c>
      <c r="N17" s="3">
        <v>38</v>
      </c>
      <c r="O17" s="3" t="s">
        <v>44</v>
      </c>
      <c r="P17" s="5">
        <f t="shared" ref="P17:P26" si="4">M17/N17</f>
        <v>0.47368421052631576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</row>
    <row r="18" spans="1:78" ht="18.75" customHeight="1" x14ac:dyDescent="0.3">
      <c r="A18" s="2">
        <f>A17</f>
        <v>1</v>
      </c>
      <c r="B18" s="3" t="s">
        <v>19</v>
      </c>
      <c r="C18" s="3" t="s">
        <v>21</v>
      </c>
      <c r="D18" s="3">
        <v>100</v>
      </c>
      <c r="E18" s="3">
        <v>38</v>
      </c>
      <c r="F18" s="3" t="s">
        <v>18</v>
      </c>
      <c r="G18" s="5">
        <f t="shared" si="3"/>
        <v>2.6315789473684212</v>
      </c>
      <c r="H18" s="1"/>
      <c r="I18" s="1"/>
      <c r="J18" s="2">
        <f>J17+1</f>
        <v>2</v>
      </c>
      <c r="K18" s="3" t="s">
        <v>24</v>
      </c>
      <c r="L18" s="3" t="s">
        <v>54</v>
      </c>
      <c r="M18" s="3">
        <v>20</v>
      </c>
      <c r="N18" s="3">
        <v>38</v>
      </c>
      <c r="O18" s="3" t="s">
        <v>18</v>
      </c>
      <c r="P18" s="5">
        <f t="shared" si="4"/>
        <v>0.52631578947368418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</row>
    <row r="19" spans="1:78" ht="18.75" customHeight="1" x14ac:dyDescent="0.3">
      <c r="A19" s="2">
        <f>A18+2</f>
        <v>3</v>
      </c>
      <c r="B19" s="3" t="s">
        <v>24</v>
      </c>
      <c r="C19" s="3" t="s">
        <v>20</v>
      </c>
      <c r="D19" s="3">
        <v>99</v>
      </c>
      <c r="E19" s="3">
        <v>38</v>
      </c>
      <c r="F19" s="3" t="s">
        <v>18</v>
      </c>
      <c r="G19" s="5">
        <f t="shared" si="3"/>
        <v>2.6052631578947367</v>
      </c>
      <c r="H19" s="1"/>
      <c r="I19" s="1"/>
      <c r="J19" s="2">
        <f>J18+1</f>
        <v>3</v>
      </c>
      <c r="K19" s="3" t="s">
        <v>24</v>
      </c>
      <c r="L19" s="3" t="s">
        <v>22</v>
      </c>
      <c r="M19" s="3">
        <v>21</v>
      </c>
      <c r="N19" s="3">
        <v>38</v>
      </c>
      <c r="O19" s="3" t="s">
        <v>18</v>
      </c>
      <c r="P19" s="5">
        <f t="shared" si="4"/>
        <v>0.55263157894736847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</row>
    <row r="20" spans="1:78" ht="18.75" customHeight="1" x14ac:dyDescent="0.3">
      <c r="A20" s="2">
        <f>A21</f>
        <v>4</v>
      </c>
      <c r="B20" s="3" t="s">
        <v>24</v>
      </c>
      <c r="C20" s="3" t="s">
        <v>22</v>
      </c>
      <c r="D20" s="3">
        <v>96</v>
      </c>
      <c r="E20" s="3">
        <v>38</v>
      </c>
      <c r="F20" s="3" t="s">
        <v>18</v>
      </c>
      <c r="G20" s="5">
        <f t="shared" si="3"/>
        <v>2.5263157894736841</v>
      </c>
      <c r="H20" s="1"/>
      <c r="I20" s="1"/>
      <c r="J20" s="2">
        <f>J19</f>
        <v>3</v>
      </c>
      <c r="K20" s="3" t="s">
        <v>24</v>
      </c>
      <c r="L20" s="3" t="s">
        <v>23</v>
      </c>
      <c r="M20" s="3">
        <v>21</v>
      </c>
      <c r="N20" s="3">
        <v>38</v>
      </c>
      <c r="O20" s="3" t="s">
        <v>18</v>
      </c>
      <c r="P20" s="5">
        <f t="shared" si="4"/>
        <v>0.55263157894736847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</row>
    <row r="21" spans="1:78" ht="18.75" customHeight="1" x14ac:dyDescent="0.3">
      <c r="A21" s="2">
        <f>A19+1</f>
        <v>4</v>
      </c>
      <c r="B21" s="3" t="s">
        <v>19</v>
      </c>
      <c r="C21" s="3" t="s">
        <v>20</v>
      </c>
      <c r="D21" s="3">
        <v>96</v>
      </c>
      <c r="E21" s="3">
        <v>38</v>
      </c>
      <c r="F21" s="3" t="s">
        <v>15</v>
      </c>
      <c r="G21" s="5">
        <f t="shared" si="3"/>
        <v>2.5263157894736841</v>
      </c>
      <c r="H21" s="1"/>
      <c r="I21" s="1"/>
      <c r="J21" s="2">
        <f>J20+2</f>
        <v>5</v>
      </c>
      <c r="K21" s="3" t="s">
        <v>370</v>
      </c>
      <c r="L21" s="3" t="s">
        <v>29</v>
      </c>
      <c r="M21" s="3">
        <v>22</v>
      </c>
      <c r="N21" s="3">
        <v>38</v>
      </c>
      <c r="O21" s="3" t="s">
        <v>15</v>
      </c>
      <c r="P21" s="5">
        <f t="shared" si="4"/>
        <v>0.57894736842105265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</row>
    <row r="22" spans="1:78" ht="18.75" customHeight="1" x14ac:dyDescent="0.3">
      <c r="A22" s="2">
        <f>A21+2</f>
        <v>6</v>
      </c>
      <c r="B22" s="3" t="s">
        <v>19</v>
      </c>
      <c r="C22" s="3" t="s">
        <v>35</v>
      </c>
      <c r="D22" s="3">
        <v>95</v>
      </c>
      <c r="E22" s="3">
        <v>38</v>
      </c>
      <c r="F22" s="3" t="s">
        <v>18</v>
      </c>
      <c r="G22" s="5">
        <f t="shared" si="3"/>
        <v>2.5</v>
      </c>
      <c r="H22" s="1"/>
      <c r="I22" s="1"/>
      <c r="J22" s="2">
        <f>J21+1</f>
        <v>6</v>
      </c>
      <c r="K22" s="3" t="s">
        <v>24</v>
      </c>
      <c r="L22" s="3" t="s">
        <v>20</v>
      </c>
      <c r="M22" s="3">
        <v>24</v>
      </c>
      <c r="N22" s="3">
        <v>38</v>
      </c>
      <c r="O22" s="3" t="s">
        <v>18</v>
      </c>
      <c r="P22" s="5">
        <f t="shared" si="4"/>
        <v>0.63157894736842102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</row>
    <row r="23" spans="1:78" ht="18.75" customHeight="1" x14ac:dyDescent="0.3">
      <c r="A23" s="2">
        <f>A22+1</f>
        <v>7</v>
      </c>
      <c r="B23" s="3" t="s">
        <v>24</v>
      </c>
      <c r="C23" s="3" t="s">
        <v>23</v>
      </c>
      <c r="D23" s="3">
        <v>94</v>
      </c>
      <c r="E23" s="3">
        <v>38</v>
      </c>
      <c r="F23" s="3" t="s">
        <v>18</v>
      </c>
      <c r="G23" s="5">
        <f t="shared" si="3"/>
        <v>2.4736842105263159</v>
      </c>
      <c r="H23" s="1"/>
      <c r="I23" s="1"/>
      <c r="J23" s="2">
        <f>J22+1</f>
        <v>7</v>
      </c>
      <c r="K23" s="3" t="s">
        <v>19</v>
      </c>
      <c r="L23" s="3" t="s">
        <v>32</v>
      </c>
      <c r="M23" s="3">
        <v>25</v>
      </c>
      <c r="N23" s="3">
        <v>38</v>
      </c>
      <c r="O23" s="3" t="s">
        <v>18</v>
      </c>
      <c r="P23" s="5">
        <f t="shared" si="4"/>
        <v>0.65789473684210531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</row>
    <row r="24" spans="1:78" ht="18.75" customHeight="1" x14ac:dyDescent="0.3">
      <c r="A24" s="2">
        <f>A23</f>
        <v>7</v>
      </c>
      <c r="B24" s="3" t="s">
        <v>24</v>
      </c>
      <c r="C24" s="3" t="s">
        <v>17</v>
      </c>
      <c r="D24" s="3">
        <v>94</v>
      </c>
      <c r="E24" s="3">
        <v>38</v>
      </c>
      <c r="F24" s="3" t="s">
        <v>18</v>
      </c>
      <c r="G24" s="5">
        <f t="shared" si="3"/>
        <v>2.4736842105263159</v>
      </c>
      <c r="H24" s="1"/>
      <c r="I24" s="1"/>
      <c r="J24" s="2">
        <f>J23</f>
        <v>7</v>
      </c>
      <c r="K24" s="3" t="s">
        <v>370</v>
      </c>
      <c r="L24" s="3" t="s">
        <v>32</v>
      </c>
      <c r="M24" s="3">
        <v>25</v>
      </c>
      <c r="N24" s="3">
        <v>38</v>
      </c>
      <c r="O24" s="3" t="s">
        <v>18</v>
      </c>
      <c r="P24" s="5">
        <f t="shared" si="4"/>
        <v>0.65789473684210531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</row>
    <row r="25" spans="1:78" ht="18.75" customHeight="1" x14ac:dyDescent="0.3">
      <c r="A25" s="2">
        <f>A24+2</f>
        <v>9</v>
      </c>
      <c r="B25" s="3" t="s">
        <v>19</v>
      </c>
      <c r="C25" s="3" t="s">
        <v>25</v>
      </c>
      <c r="D25" s="3">
        <v>93</v>
      </c>
      <c r="E25" s="3">
        <v>38</v>
      </c>
      <c r="F25" s="3" t="s">
        <v>18</v>
      </c>
      <c r="G25" s="5">
        <f t="shared" si="3"/>
        <v>2.4473684210526314</v>
      </c>
      <c r="H25" s="1"/>
      <c r="I25" s="1"/>
      <c r="J25" s="2">
        <f>J24+2</f>
        <v>9</v>
      </c>
      <c r="K25" s="3" t="s">
        <v>370</v>
      </c>
      <c r="L25" s="3" t="s">
        <v>40</v>
      </c>
      <c r="M25" s="3">
        <v>26</v>
      </c>
      <c r="N25" s="3">
        <v>38</v>
      </c>
      <c r="O25" s="3" t="s">
        <v>18</v>
      </c>
      <c r="P25" s="5">
        <f t="shared" si="4"/>
        <v>0.68421052631578949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</row>
    <row r="26" spans="1:78" ht="18.75" customHeight="1" x14ac:dyDescent="0.3">
      <c r="A26" s="2">
        <f>A25</f>
        <v>9</v>
      </c>
      <c r="B26" s="3" t="s">
        <v>24</v>
      </c>
      <c r="C26" s="3" t="s">
        <v>29</v>
      </c>
      <c r="D26" s="3">
        <v>93</v>
      </c>
      <c r="E26" s="3">
        <v>38</v>
      </c>
      <c r="F26" s="3" t="s">
        <v>18</v>
      </c>
      <c r="G26" s="5">
        <f t="shared" si="3"/>
        <v>2.4473684210526314</v>
      </c>
      <c r="H26" s="1"/>
      <c r="I26" s="1"/>
      <c r="J26" s="2">
        <f>J25</f>
        <v>9</v>
      </c>
      <c r="K26" s="3" t="s">
        <v>19</v>
      </c>
      <c r="L26" s="3" t="s">
        <v>35</v>
      </c>
      <c r="M26" s="3">
        <v>26</v>
      </c>
      <c r="N26" s="3">
        <v>38</v>
      </c>
      <c r="O26" s="3" t="s">
        <v>18</v>
      </c>
      <c r="P26" s="5">
        <f t="shared" si="4"/>
        <v>0.68421052631578949</v>
      </c>
      <c r="Q26" s="1" t="s">
        <v>286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</row>
    <row r="27" spans="1:78" ht="18.75" customHeight="1" x14ac:dyDescent="0.3">
      <c r="H27" s="1"/>
      <c r="I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</row>
    <row r="28" spans="1:78" ht="18.75" customHeight="1" x14ac:dyDescent="0.3">
      <c r="H28" s="1"/>
      <c r="I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</row>
    <row r="29" spans="1:78" ht="18.75" customHeight="1" x14ac:dyDescent="0.3"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</row>
    <row r="30" spans="1:78" ht="18.75" customHeight="1" x14ac:dyDescent="0.3"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</row>
    <row r="31" spans="1:78" ht="18.75" customHeight="1" x14ac:dyDescent="0.3"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</row>
    <row r="32" spans="1:78" ht="18.75" customHeight="1" x14ac:dyDescent="0.3">
      <c r="H32" s="1"/>
      <c r="I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</row>
    <row r="33" spans="3:78" ht="18.75" customHeight="1" x14ac:dyDescent="0.3">
      <c r="H33" s="1"/>
      <c r="I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</row>
    <row r="34" spans="3:78" ht="18.75" customHeight="1" x14ac:dyDescent="0.3">
      <c r="H34" s="1"/>
      <c r="I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</row>
    <row r="35" spans="3:78" ht="18.75" customHeight="1" x14ac:dyDescent="0.3">
      <c r="H35" s="1"/>
      <c r="I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</row>
    <row r="36" spans="3:78" ht="18.75" customHeight="1" x14ac:dyDescent="0.3">
      <c r="H36" s="1"/>
      <c r="I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</row>
    <row r="37" spans="3:78" ht="18.75" customHeight="1" x14ac:dyDescent="0.3">
      <c r="H37" s="1"/>
      <c r="I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</row>
    <row r="38" spans="3:78" ht="18.75" customHeight="1" x14ac:dyDescent="0.3">
      <c r="H38" s="1"/>
      <c r="I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</row>
    <row r="39" spans="3:78" ht="18.75" customHeight="1" x14ac:dyDescent="0.3">
      <c r="H39" s="1"/>
      <c r="I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</row>
    <row r="40" spans="3:78" x14ac:dyDescent="0.25">
      <c r="H40" s="12"/>
      <c r="I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3:78" x14ac:dyDescent="0.25">
      <c r="H41" s="12"/>
      <c r="I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3:78" x14ac:dyDescent="0.25">
      <c r="H42" s="12"/>
      <c r="I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3:78" x14ac:dyDescent="0.25">
      <c r="H43" s="12"/>
      <c r="I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3:78" x14ac:dyDescent="0.25">
      <c r="C44" s="12"/>
      <c r="D44" s="12"/>
      <c r="E44" s="12"/>
      <c r="F44" s="12"/>
      <c r="G44" s="12"/>
      <c r="H44" s="12"/>
      <c r="I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3:78" x14ac:dyDescent="0.25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3:78" x14ac:dyDescent="0.25"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3:78" x14ac:dyDescent="0.25"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3:78" x14ac:dyDescent="0.25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3:25" x14ac:dyDescent="0.25"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3:25" x14ac:dyDescent="0.25"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3:25" x14ac:dyDescent="0.25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3:25" x14ac:dyDescent="0.25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3:25" x14ac:dyDescent="0.25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3:25" x14ac:dyDescent="0.25"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3:25" x14ac:dyDescent="0.25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3:25" x14ac:dyDescent="0.25"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3:25" x14ac:dyDescent="0.25"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3:25" x14ac:dyDescent="0.25"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3:25" x14ac:dyDescent="0.25"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3:25" x14ac:dyDescent="0.25"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3:25" x14ac:dyDescent="0.25"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3:25" x14ac:dyDescent="0.25"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3:25" x14ac:dyDescent="0.25"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3:25" x14ac:dyDescent="0.25"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3:25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spans="3:25" x14ac:dyDescent="0.25"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3:25" x14ac:dyDescent="0.25"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3:25" x14ac:dyDescent="0.25"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3:25" x14ac:dyDescent="0.25"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3:25" x14ac:dyDescent="0.25"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3:25" x14ac:dyDescent="0.25"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3:25" x14ac:dyDescent="0.25"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spans="3:25" x14ac:dyDescent="0.25"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3:25" x14ac:dyDescent="0.25"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spans="3:25" x14ac:dyDescent="0.25"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spans="3:25" x14ac:dyDescent="0.25"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3:25" x14ac:dyDescent="0.25"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spans="3:25" x14ac:dyDescent="0.25"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spans="3:25" x14ac:dyDescent="0.25"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spans="3:25" x14ac:dyDescent="0.25"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spans="3:25" x14ac:dyDescent="0.25"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spans="3:25" x14ac:dyDescent="0.25"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spans="3:25" x14ac:dyDescent="0.25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spans="3:25" x14ac:dyDescent="0.25"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spans="3:25" x14ac:dyDescent="0.25"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3:25" x14ac:dyDescent="0.25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3:25" x14ac:dyDescent="0.25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spans="3:25" x14ac:dyDescent="0.25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spans="3:25" x14ac:dyDescent="0.25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spans="3:25" x14ac:dyDescent="0.25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3:25" x14ac:dyDescent="0.25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spans="3:25" x14ac:dyDescent="0.25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spans="3:25" x14ac:dyDescent="0.25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spans="3:25" x14ac:dyDescent="0.25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3:25" x14ac:dyDescent="0.25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spans="3:25" x14ac:dyDescent="0.25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spans="3:25" x14ac:dyDescent="0.25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spans="3:25" x14ac:dyDescent="0.25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spans="3:25" x14ac:dyDescent="0.25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spans="3:25" x14ac:dyDescent="0.25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spans="3:25" x14ac:dyDescent="0.25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spans="3:25" x14ac:dyDescent="0.25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spans="3:25" x14ac:dyDescent="0.25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spans="3:25" x14ac:dyDescent="0.25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spans="3:25" x14ac:dyDescent="0.25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spans="3:25" x14ac:dyDescent="0.25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spans="3:25" x14ac:dyDescent="0.25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spans="3:25" x14ac:dyDescent="0.25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spans="3:25" x14ac:dyDescent="0.25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</sheetData>
  <mergeCells count="4">
    <mergeCell ref="J1:P1"/>
    <mergeCell ref="A1:G1"/>
    <mergeCell ref="J15:P15"/>
    <mergeCell ref="A15:G15"/>
  </mergeCells>
  <conditionalFormatting sqref="G3:G13"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26">
    <cfRule type="colorScale" priority="6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3:G26 G20">
    <cfRule type="colorScale" priority="6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12"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6:P26">
    <cfRule type="colorScale" priority="6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27"/>
  <sheetViews>
    <sheetView workbookViewId="0">
      <selection activeCell="L22" sqref="L22"/>
    </sheetView>
  </sheetViews>
  <sheetFormatPr baseColWidth="10" defaultRowHeight="15" x14ac:dyDescent="0.25"/>
  <cols>
    <col min="1" max="1" width="12.28515625" customWidth="1"/>
    <col min="2" max="2" width="24.85546875" bestFit="1" customWidth="1"/>
    <col min="3" max="3" width="14.7109375" customWidth="1"/>
    <col min="4" max="4" width="14" bestFit="1" customWidth="1"/>
    <col min="5" max="5" width="30.7109375" bestFit="1" customWidth="1"/>
    <col min="6" max="6" width="23.42578125" bestFit="1" customWidth="1"/>
    <col min="7" max="7" width="16.85546875" customWidth="1"/>
    <col min="8" max="8" width="28.42578125" bestFit="1" customWidth="1"/>
    <col min="11" max="11" width="13.28515625" customWidth="1"/>
    <col min="12" max="12" width="24.85546875" bestFit="1" customWidth="1"/>
    <col min="13" max="13" width="15.42578125" customWidth="1"/>
    <col min="14" max="14" width="19" bestFit="1" customWidth="1"/>
    <col min="15" max="15" width="23.42578125" bestFit="1" customWidth="1"/>
    <col min="16" max="16" width="16.28515625" customWidth="1"/>
    <col min="17" max="17" width="33.5703125" bestFit="1" customWidth="1"/>
  </cols>
  <sheetData>
    <row r="1" spans="1:17" ht="18.75" customHeight="1" x14ac:dyDescent="0.3">
      <c r="A1" s="21" t="s">
        <v>287</v>
      </c>
      <c r="B1" s="20"/>
      <c r="C1" s="20"/>
      <c r="D1" s="20"/>
      <c r="E1" s="20"/>
      <c r="F1" s="20"/>
      <c r="G1" s="20"/>
      <c r="H1" s="20"/>
      <c r="K1" s="21" t="s">
        <v>288</v>
      </c>
      <c r="L1" s="20"/>
      <c r="M1" s="20"/>
      <c r="N1" s="20"/>
      <c r="O1" s="20"/>
      <c r="P1" s="20"/>
      <c r="Q1" s="20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10</v>
      </c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</row>
    <row r="3" spans="1:17" ht="18.75" customHeight="1" x14ac:dyDescent="0.3">
      <c r="A3" s="2">
        <v>1</v>
      </c>
      <c r="B3" s="3" t="s">
        <v>19</v>
      </c>
      <c r="C3" s="3" t="s">
        <v>20</v>
      </c>
      <c r="D3" s="3">
        <v>96</v>
      </c>
      <c r="E3" s="3">
        <v>114</v>
      </c>
      <c r="F3" s="3">
        <v>38</v>
      </c>
      <c r="G3" s="3" t="s">
        <v>15</v>
      </c>
      <c r="H3" s="5">
        <f t="shared" ref="H3:H8" si="0">D3/F3</f>
        <v>2.5263157894736841</v>
      </c>
      <c r="K3" s="2">
        <v>1</v>
      </c>
      <c r="L3" s="3" t="s">
        <v>24</v>
      </c>
      <c r="M3" s="3" t="s">
        <v>63</v>
      </c>
      <c r="N3" s="3">
        <v>96</v>
      </c>
      <c r="O3" s="3">
        <v>30</v>
      </c>
      <c r="P3" s="3" t="s">
        <v>18</v>
      </c>
      <c r="Q3" s="5">
        <f t="shared" ref="Q3:Q12" si="1">N3/O3</f>
        <v>3.2</v>
      </c>
    </row>
    <row r="4" spans="1:17" ht="18.75" customHeight="1" x14ac:dyDescent="0.3">
      <c r="A4" s="2">
        <f>A3+1</f>
        <v>2</v>
      </c>
      <c r="B4" s="3" t="s">
        <v>19</v>
      </c>
      <c r="C4" s="3" t="s">
        <v>22</v>
      </c>
      <c r="D4" s="3">
        <v>92</v>
      </c>
      <c r="E4" s="3">
        <v>114</v>
      </c>
      <c r="F4" s="3">
        <v>38</v>
      </c>
      <c r="G4" s="3" t="s">
        <v>15</v>
      </c>
      <c r="H4" s="5">
        <f t="shared" si="0"/>
        <v>2.4210526315789473</v>
      </c>
      <c r="K4" s="2">
        <f t="shared" ref="K4:K10" si="2">K3+1</f>
        <v>2</v>
      </c>
      <c r="L4" s="3" t="s">
        <v>19</v>
      </c>
      <c r="M4" s="3" t="s">
        <v>21</v>
      </c>
      <c r="N4" s="3">
        <v>121</v>
      </c>
      <c r="O4" s="3">
        <v>38</v>
      </c>
      <c r="P4" s="3" t="s">
        <v>18</v>
      </c>
      <c r="Q4" s="5">
        <f t="shared" si="1"/>
        <v>3.1842105263157894</v>
      </c>
    </row>
    <row r="5" spans="1:17" ht="18.75" customHeight="1" x14ac:dyDescent="0.3">
      <c r="A5" s="2">
        <f>A4</f>
        <v>2</v>
      </c>
      <c r="B5" s="3" t="s">
        <v>19</v>
      </c>
      <c r="C5" s="3" t="s">
        <v>23</v>
      </c>
      <c r="D5" s="3">
        <v>92</v>
      </c>
      <c r="E5" s="3">
        <v>114</v>
      </c>
      <c r="F5" s="3">
        <v>38</v>
      </c>
      <c r="G5" s="3" t="s">
        <v>15</v>
      </c>
      <c r="H5" s="5">
        <f t="shared" si="0"/>
        <v>2.4210526315789473</v>
      </c>
      <c r="K5" s="2">
        <f t="shared" si="2"/>
        <v>3</v>
      </c>
      <c r="L5" s="3" t="s">
        <v>19</v>
      </c>
      <c r="M5" s="3" t="s">
        <v>23</v>
      </c>
      <c r="N5" s="3">
        <v>118</v>
      </c>
      <c r="O5" s="3">
        <v>38</v>
      </c>
      <c r="P5" s="3" t="s">
        <v>15</v>
      </c>
      <c r="Q5" s="5">
        <f t="shared" si="1"/>
        <v>3.1052631578947367</v>
      </c>
    </row>
    <row r="6" spans="1:17" ht="18.75" customHeight="1" x14ac:dyDescent="0.3">
      <c r="A6" s="2">
        <f>A5+2</f>
        <v>4</v>
      </c>
      <c r="B6" s="3" t="s">
        <v>24</v>
      </c>
      <c r="C6" s="3" t="s">
        <v>21</v>
      </c>
      <c r="D6" s="3">
        <v>91</v>
      </c>
      <c r="E6" s="3">
        <v>114</v>
      </c>
      <c r="F6" s="3">
        <v>38</v>
      </c>
      <c r="G6" s="3" t="s">
        <v>15</v>
      </c>
      <c r="H6" s="5">
        <f t="shared" si="0"/>
        <v>2.3947368421052633</v>
      </c>
      <c r="K6" s="2">
        <f t="shared" si="2"/>
        <v>4</v>
      </c>
      <c r="L6" s="3" t="s">
        <v>19</v>
      </c>
      <c r="M6" s="3" t="s">
        <v>68</v>
      </c>
      <c r="N6" s="3">
        <v>92</v>
      </c>
      <c r="O6" s="3">
        <v>30</v>
      </c>
      <c r="P6" s="3" t="s">
        <v>18</v>
      </c>
      <c r="Q6" s="5">
        <f t="shared" si="1"/>
        <v>3.0666666666666669</v>
      </c>
    </row>
    <row r="7" spans="1:17" ht="18.75" customHeight="1" x14ac:dyDescent="0.3">
      <c r="A7" s="2">
        <f>A6+1</f>
        <v>5</v>
      </c>
      <c r="B7" s="3" t="s">
        <v>24</v>
      </c>
      <c r="C7" s="3" t="s">
        <v>25</v>
      </c>
      <c r="D7" s="3">
        <v>90</v>
      </c>
      <c r="E7" s="3">
        <v>114</v>
      </c>
      <c r="F7" s="3">
        <v>38</v>
      </c>
      <c r="G7" s="3" t="s">
        <v>15</v>
      </c>
      <c r="H7" s="5">
        <f t="shared" si="0"/>
        <v>2.3684210526315788</v>
      </c>
      <c r="K7" s="2">
        <f t="shared" si="2"/>
        <v>5</v>
      </c>
      <c r="L7" s="3" t="s">
        <v>24</v>
      </c>
      <c r="M7" s="3" t="s">
        <v>25</v>
      </c>
      <c r="N7" s="3">
        <v>116</v>
      </c>
      <c r="O7" s="3">
        <v>38</v>
      </c>
      <c r="P7" s="3" t="s">
        <v>15</v>
      </c>
      <c r="Q7" s="5">
        <f t="shared" si="1"/>
        <v>3.0526315789473686</v>
      </c>
    </row>
    <row r="8" spans="1:17" ht="18.75" customHeight="1" x14ac:dyDescent="0.3">
      <c r="A8" s="2">
        <f>A7</f>
        <v>5</v>
      </c>
      <c r="B8" s="3" t="s">
        <v>19</v>
      </c>
      <c r="C8" s="3" t="s">
        <v>30</v>
      </c>
      <c r="D8" s="3">
        <v>90</v>
      </c>
      <c r="E8" s="3">
        <v>114</v>
      </c>
      <c r="F8" s="3">
        <v>38</v>
      </c>
      <c r="G8" s="3" t="s">
        <v>15</v>
      </c>
      <c r="H8" s="5">
        <f t="shared" si="0"/>
        <v>2.3684210526315788</v>
      </c>
      <c r="K8" s="2">
        <f t="shared" si="2"/>
        <v>6</v>
      </c>
      <c r="L8" s="3" t="s">
        <v>24</v>
      </c>
      <c r="M8" s="3" t="s">
        <v>27</v>
      </c>
      <c r="N8" s="3">
        <v>115</v>
      </c>
      <c r="O8" s="3">
        <v>38</v>
      </c>
      <c r="P8" s="3" t="s">
        <v>18</v>
      </c>
      <c r="Q8" s="5">
        <f t="shared" si="1"/>
        <v>3.0263157894736841</v>
      </c>
    </row>
    <row r="9" spans="1:17" ht="18.75" customHeight="1" x14ac:dyDescent="0.3">
      <c r="A9" s="2">
        <f>A8+2</f>
        <v>7</v>
      </c>
      <c r="B9" s="3" t="s">
        <v>24</v>
      </c>
      <c r="C9" s="3" t="s">
        <v>73</v>
      </c>
      <c r="D9" s="3">
        <v>47</v>
      </c>
      <c r="E9" s="3" t="s">
        <v>66</v>
      </c>
      <c r="F9" s="3">
        <v>30</v>
      </c>
      <c r="G9" s="3" t="s">
        <v>15</v>
      </c>
      <c r="H9" s="5">
        <f>(D9/60)*3</f>
        <v>2.35</v>
      </c>
      <c r="K9" s="2">
        <f t="shared" si="2"/>
        <v>7</v>
      </c>
      <c r="L9" s="3" t="s">
        <v>24</v>
      </c>
      <c r="M9" s="3" t="s">
        <v>21</v>
      </c>
      <c r="N9" s="3">
        <v>114</v>
      </c>
      <c r="O9" s="3">
        <v>38</v>
      </c>
      <c r="P9" s="3" t="s">
        <v>15</v>
      </c>
      <c r="Q9" s="5">
        <f t="shared" si="1"/>
        <v>3</v>
      </c>
    </row>
    <row r="10" spans="1:17" ht="18.75" customHeight="1" x14ac:dyDescent="0.3">
      <c r="A10" s="2">
        <f>A9</f>
        <v>7</v>
      </c>
      <c r="B10" s="3" t="s">
        <v>19</v>
      </c>
      <c r="C10" s="3" t="s">
        <v>63</v>
      </c>
      <c r="D10" s="3">
        <v>47</v>
      </c>
      <c r="E10" s="3" t="s">
        <v>66</v>
      </c>
      <c r="F10" s="3">
        <v>30</v>
      </c>
      <c r="G10" s="3" t="s">
        <v>15</v>
      </c>
      <c r="H10" s="5">
        <f>(D10/60)*3</f>
        <v>2.35</v>
      </c>
      <c r="K10" s="2">
        <f t="shared" si="2"/>
        <v>8</v>
      </c>
      <c r="L10" s="3" t="s">
        <v>19</v>
      </c>
      <c r="M10" s="3" t="s">
        <v>72</v>
      </c>
      <c r="N10" s="3">
        <v>89</v>
      </c>
      <c r="O10" s="3">
        <v>30</v>
      </c>
      <c r="P10" s="3" t="s">
        <v>18</v>
      </c>
      <c r="Q10" s="5">
        <f t="shared" si="1"/>
        <v>2.9666666666666668</v>
      </c>
    </row>
    <row r="11" spans="1:17" ht="18.75" customHeight="1" x14ac:dyDescent="0.3">
      <c r="A11" s="2">
        <f>A10+2</f>
        <v>9</v>
      </c>
      <c r="B11" s="3" t="s">
        <v>19</v>
      </c>
      <c r="C11" s="3" t="s">
        <v>68</v>
      </c>
      <c r="D11" s="3">
        <v>46</v>
      </c>
      <c r="E11" s="3" t="s">
        <v>66</v>
      </c>
      <c r="F11" s="3">
        <v>30</v>
      </c>
      <c r="G11" s="3" t="s">
        <v>15</v>
      </c>
      <c r="H11" s="5">
        <f>(D11/60)*3</f>
        <v>2.3000000000000003</v>
      </c>
      <c r="K11" s="2">
        <f>K10</f>
        <v>8</v>
      </c>
      <c r="L11" s="3" t="s">
        <v>19</v>
      </c>
      <c r="M11" s="3" t="s">
        <v>63</v>
      </c>
      <c r="N11" s="3">
        <v>89</v>
      </c>
      <c r="O11" s="3">
        <v>30</v>
      </c>
      <c r="P11" s="3" t="s">
        <v>15</v>
      </c>
      <c r="Q11" s="5">
        <f t="shared" si="1"/>
        <v>2.9666666666666668</v>
      </c>
    </row>
    <row r="12" spans="1:17" ht="18.75" customHeight="1" x14ac:dyDescent="0.3">
      <c r="A12" s="2">
        <f>A11+1</f>
        <v>10</v>
      </c>
      <c r="B12" s="3" t="s">
        <v>289</v>
      </c>
      <c r="C12" s="3" t="s">
        <v>121</v>
      </c>
      <c r="D12" s="3">
        <v>52</v>
      </c>
      <c r="E12" s="3" t="s">
        <v>70</v>
      </c>
      <c r="F12" s="3">
        <v>34</v>
      </c>
      <c r="G12" s="3" t="s">
        <v>15</v>
      </c>
      <c r="H12" s="5">
        <f>(D12/68)*3</f>
        <v>2.2941176470588234</v>
      </c>
      <c r="K12" s="2">
        <f>K10+2</f>
        <v>10</v>
      </c>
      <c r="L12" s="3" t="s">
        <v>24</v>
      </c>
      <c r="M12" s="3" t="s">
        <v>30</v>
      </c>
      <c r="N12" s="3">
        <v>112</v>
      </c>
      <c r="O12" s="3">
        <v>38</v>
      </c>
      <c r="P12" s="3" t="s">
        <v>18</v>
      </c>
      <c r="Q12" s="5">
        <f t="shared" si="1"/>
        <v>2.9473684210526314</v>
      </c>
    </row>
    <row r="15" spans="1:17" ht="18.75" customHeight="1" x14ac:dyDescent="0.3">
      <c r="A15" s="21" t="s">
        <v>290</v>
      </c>
      <c r="B15" s="20"/>
      <c r="C15" s="20"/>
      <c r="D15" s="20"/>
      <c r="E15" s="20"/>
      <c r="F15" s="20"/>
      <c r="G15" s="20"/>
      <c r="H15" s="20"/>
      <c r="K15" s="21" t="s">
        <v>291</v>
      </c>
      <c r="L15" s="20"/>
      <c r="M15" s="20"/>
      <c r="N15" s="20"/>
      <c r="O15" s="20"/>
      <c r="P15" s="20"/>
      <c r="Q15" s="20"/>
    </row>
    <row r="16" spans="1:17" ht="18.75" customHeight="1" x14ac:dyDescent="0.3">
      <c r="A16" s="2" t="s">
        <v>4</v>
      </c>
      <c r="B16" s="2" t="s">
        <v>5</v>
      </c>
      <c r="C16" s="2" t="s">
        <v>6</v>
      </c>
      <c r="D16" s="2" t="s">
        <v>7</v>
      </c>
      <c r="E16" s="2" t="s">
        <v>62</v>
      </c>
      <c r="F16" s="2" t="s">
        <v>8</v>
      </c>
      <c r="G16" s="2" t="s">
        <v>9</v>
      </c>
      <c r="H16" s="2" t="s">
        <v>10</v>
      </c>
      <c r="K16" s="2" t="s">
        <v>4</v>
      </c>
      <c r="L16" s="2" t="s">
        <v>5</v>
      </c>
      <c r="M16" s="2" t="s">
        <v>6</v>
      </c>
      <c r="N16" s="2" t="s">
        <v>201</v>
      </c>
      <c r="O16" s="2" t="s">
        <v>8</v>
      </c>
      <c r="P16" s="2" t="s">
        <v>9</v>
      </c>
      <c r="Q16" s="2" t="s">
        <v>202</v>
      </c>
    </row>
    <row r="17" spans="1:17" ht="18.75" customHeight="1" x14ac:dyDescent="0.3">
      <c r="A17" s="2">
        <v>1</v>
      </c>
      <c r="B17" s="3" t="s">
        <v>24</v>
      </c>
      <c r="C17" s="3" t="s">
        <v>27</v>
      </c>
      <c r="D17" s="3">
        <v>100</v>
      </c>
      <c r="E17" s="3">
        <v>114</v>
      </c>
      <c r="F17" s="3">
        <v>38</v>
      </c>
      <c r="G17" s="3" t="s">
        <v>18</v>
      </c>
      <c r="H17" s="5">
        <f>D17/F17</f>
        <v>2.6315789473684212</v>
      </c>
      <c r="K17" s="2">
        <v>1</v>
      </c>
      <c r="L17" s="3" t="s">
        <v>368</v>
      </c>
      <c r="M17" s="3" t="s">
        <v>81</v>
      </c>
      <c r="N17" s="3">
        <v>18</v>
      </c>
      <c r="O17" s="3">
        <v>38</v>
      </c>
      <c r="P17" s="3" t="s">
        <v>15</v>
      </c>
      <c r="Q17" s="5">
        <f t="shared" ref="Q17:Q26" si="3">N17/O17</f>
        <v>0.47368421052631576</v>
      </c>
    </row>
    <row r="18" spans="1:17" ht="18.75" customHeight="1" x14ac:dyDescent="0.3">
      <c r="A18" s="2">
        <f>A17</f>
        <v>1</v>
      </c>
      <c r="B18" s="3" t="s">
        <v>19</v>
      </c>
      <c r="C18" s="3" t="s">
        <v>21</v>
      </c>
      <c r="D18" s="3">
        <v>100</v>
      </c>
      <c r="E18" s="3">
        <v>114</v>
      </c>
      <c r="F18" s="3">
        <v>38</v>
      </c>
      <c r="G18" s="3" t="s">
        <v>18</v>
      </c>
      <c r="H18" s="5">
        <f>D18/F18</f>
        <v>2.6315789473684212</v>
      </c>
      <c r="K18" s="2">
        <v>1</v>
      </c>
      <c r="L18" s="3" t="s">
        <v>370</v>
      </c>
      <c r="M18" s="3" t="s">
        <v>30</v>
      </c>
      <c r="N18" s="3">
        <v>18</v>
      </c>
      <c r="O18" s="3">
        <v>38</v>
      </c>
      <c r="P18" s="3" t="s">
        <v>44</v>
      </c>
      <c r="Q18" s="5">
        <f t="shared" si="3"/>
        <v>0.47368421052631576</v>
      </c>
    </row>
    <row r="19" spans="1:17" ht="18.75" customHeight="1" x14ac:dyDescent="0.3">
      <c r="A19" s="2">
        <f>A18+2</f>
        <v>3</v>
      </c>
      <c r="B19" s="3" t="s">
        <v>24</v>
      </c>
      <c r="C19" s="3" t="s">
        <v>20</v>
      </c>
      <c r="D19" s="3">
        <v>99</v>
      </c>
      <c r="E19" s="3">
        <v>114</v>
      </c>
      <c r="F19" s="3">
        <v>38</v>
      </c>
      <c r="G19" s="3" t="s">
        <v>18</v>
      </c>
      <c r="H19" s="5">
        <f>D19/F19</f>
        <v>2.6052631578947367</v>
      </c>
      <c r="K19" s="2">
        <f>K17+2</f>
        <v>3</v>
      </c>
      <c r="L19" s="3" t="s">
        <v>24</v>
      </c>
      <c r="M19" s="3" t="s">
        <v>54</v>
      </c>
      <c r="N19" s="3">
        <v>20</v>
      </c>
      <c r="O19" s="3">
        <v>38</v>
      </c>
      <c r="P19" s="3" t="s">
        <v>18</v>
      </c>
      <c r="Q19" s="5">
        <f t="shared" si="3"/>
        <v>0.52631578947368418</v>
      </c>
    </row>
    <row r="20" spans="1:17" ht="18.75" customHeight="1" x14ac:dyDescent="0.3">
      <c r="A20" s="2">
        <f>A19+1</f>
        <v>4</v>
      </c>
      <c r="B20" s="3" t="s">
        <v>19</v>
      </c>
      <c r="C20" s="3" t="s">
        <v>72</v>
      </c>
      <c r="D20" s="3">
        <v>52</v>
      </c>
      <c r="E20" s="3" t="s">
        <v>66</v>
      </c>
      <c r="F20" s="3">
        <v>30</v>
      </c>
      <c r="G20" s="3" t="s">
        <v>18</v>
      </c>
      <c r="H20" s="5">
        <f>(D20/60)*3</f>
        <v>2.6</v>
      </c>
      <c r="K20" s="2">
        <f>K19+1</f>
        <v>4</v>
      </c>
      <c r="L20" s="3" t="s">
        <v>24</v>
      </c>
      <c r="M20" s="3" t="s">
        <v>22</v>
      </c>
      <c r="N20" s="3">
        <v>21</v>
      </c>
      <c r="O20" s="3">
        <v>38</v>
      </c>
      <c r="P20" s="3" t="s">
        <v>18</v>
      </c>
      <c r="Q20" s="5">
        <f t="shared" si="3"/>
        <v>0.55263157894736847</v>
      </c>
    </row>
    <row r="21" spans="1:17" ht="18.75" customHeight="1" x14ac:dyDescent="0.3">
      <c r="A21" s="2">
        <f>A20+1</f>
        <v>5</v>
      </c>
      <c r="B21" s="3" t="s">
        <v>24</v>
      </c>
      <c r="C21" s="3" t="s">
        <v>63</v>
      </c>
      <c r="D21" s="3">
        <v>51</v>
      </c>
      <c r="E21" s="3" t="s">
        <v>66</v>
      </c>
      <c r="F21" s="3">
        <v>30</v>
      </c>
      <c r="G21" s="3" t="s">
        <v>18</v>
      </c>
      <c r="H21" s="5">
        <f>(D21/60)*3</f>
        <v>2.5499999999999998</v>
      </c>
      <c r="K21" s="2">
        <f>K20</f>
        <v>4</v>
      </c>
      <c r="L21" s="3" t="s">
        <v>24</v>
      </c>
      <c r="M21" s="3" t="s">
        <v>23</v>
      </c>
      <c r="N21" s="3">
        <v>21</v>
      </c>
      <c r="O21" s="3">
        <v>38</v>
      </c>
      <c r="P21" s="3" t="s">
        <v>18</v>
      </c>
      <c r="Q21" s="5">
        <f t="shared" si="3"/>
        <v>0.55263157894736847</v>
      </c>
    </row>
    <row r="22" spans="1:17" ht="18.75" customHeight="1" x14ac:dyDescent="0.3">
      <c r="A22" s="2">
        <f>A21+1</f>
        <v>6</v>
      </c>
      <c r="B22" s="3" t="s">
        <v>24</v>
      </c>
      <c r="C22" s="3" t="s">
        <v>22</v>
      </c>
      <c r="D22" s="3">
        <v>96</v>
      </c>
      <c r="E22" s="3">
        <v>114</v>
      </c>
      <c r="F22" s="3">
        <v>38</v>
      </c>
      <c r="G22" s="3" t="s">
        <v>18</v>
      </c>
      <c r="H22" s="5">
        <f>D22/F22</f>
        <v>2.5263157894736841</v>
      </c>
      <c r="K22" s="2">
        <f>K21+2</f>
        <v>6</v>
      </c>
      <c r="L22" s="3" t="s">
        <v>370</v>
      </c>
      <c r="M22" s="3" t="s">
        <v>29</v>
      </c>
      <c r="N22" s="3">
        <v>22</v>
      </c>
      <c r="O22" s="3">
        <v>38</v>
      </c>
      <c r="P22" s="3" t="s">
        <v>15</v>
      </c>
      <c r="Q22" s="5">
        <f t="shared" si="3"/>
        <v>0.57894736842105265</v>
      </c>
    </row>
    <row r="23" spans="1:17" ht="18.75" customHeight="1" x14ac:dyDescent="0.3">
      <c r="A23" s="2">
        <f>A22</f>
        <v>6</v>
      </c>
      <c r="B23" s="3" t="s">
        <v>19</v>
      </c>
      <c r="C23" s="3" t="s">
        <v>20</v>
      </c>
      <c r="D23" s="3">
        <v>96</v>
      </c>
      <c r="E23" s="3">
        <v>114</v>
      </c>
      <c r="F23" s="3">
        <v>38</v>
      </c>
      <c r="G23" s="3" t="s">
        <v>15</v>
      </c>
      <c r="H23" s="5">
        <f>D23/F23</f>
        <v>2.5263157894736841</v>
      </c>
      <c r="K23" s="2">
        <f>K22+1</f>
        <v>7</v>
      </c>
      <c r="L23" s="3" t="s">
        <v>289</v>
      </c>
      <c r="M23" s="3" t="s">
        <v>121</v>
      </c>
      <c r="N23" s="3">
        <v>20</v>
      </c>
      <c r="O23" s="3">
        <v>34</v>
      </c>
      <c r="P23" s="3" t="s">
        <v>15</v>
      </c>
      <c r="Q23" s="5">
        <f t="shared" si="3"/>
        <v>0.58823529411764708</v>
      </c>
    </row>
    <row r="24" spans="1:17" ht="18.75" customHeight="1" x14ac:dyDescent="0.3">
      <c r="A24" s="2">
        <f>A23+2</f>
        <v>8</v>
      </c>
      <c r="B24" s="3" t="s">
        <v>19</v>
      </c>
      <c r="C24" s="3" t="s">
        <v>35</v>
      </c>
      <c r="D24" s="3">
        <v>95</v>
      </c>
      <c r="E24" s="3">
        <v>114</v>
      </c>
      <c r="F24" s="3">
        <v>38</v>
      </c>
      <c r="G24" s="3" t="s">
        <v>18</v>
      </c>
      <c r="H24" s="5">
        <f>D24/F24</f>
        <v>2.5</v>
      </c>
      <c r="K24" s="2">
        <f>K23+1</f>
        <v>8</v>
      </c>
      <c r="L24" s="3" t="s">
        <v>19</v>
      </c>
      <c r="M24" s="3" t="s">
        <v>146</v>
      </c>
      <c r="N24" s="3">
        <v>18</v>
      </c>
      <c r="O24" s="3">
        <v>30</v>
      </c>
      <c r="P24" s="3" t="s">
        <v>18</v>
      </c>
      <c r="Q24" s="5">
        <f t="shared" si="3"/>
        <v>0.6</v>
      </c>
    </row>
    <row r="25" spans="1:17" ht="18.75" customHeight="1" x14ac:dyDescent="0.3">
      <c r="A25" s="2">
        <f>A24+1</f>
        <v>9</v>
      </c>
      <c r="B25" s="3" t="s">
        <v>24</v>
      </c>
      <c r="C25" s="3" t="s">
        <v>23</v>
      </c>
      <c r="D25" s="3">
        <v>94</v>
      </c>
      <c r="E25" s="3">
        <v>114</v>
      </c>
      <c r="F25" s="3">
        <v>38</v>
      </c>
      <c r="G25" s="3" t="s">
        <v>18</v>
      </c>
      <c r="H25" s="5">
        <f>D25/F25</f>
        <v>2.4736842105263159</v>
      </c>
      <c r="K25" s="2">
        <f>K23+1</f>
        <v>8</v>
      </c>
      <c r="L25" s="3" t="s">
        <v>24</v>
      </c>
      <c r="M25" s="3" t="s">
        <v>80</v>
      </c>
      <c r="N25" s="3">
        <v>18</v>
      </c>
      <c r="O25" s="3">
        <v>30</v>
      </c>
      <c r="P25" s="3" t="s">
        <v>44</v>
      </c>
      <c r="Q25" s="5">
        <f t="shared" si="3"/>
        <v>0.6</v>
      </c>
    </row>
    <row r="26" spans="1:17" ht="18.75" customHeight="1" x14ac:dyDescent="0.3">
      <c r="A26" s="2">
        <f>A25</f>
        <v>9</v>
      </c>
      <c r="B26" s="3" t="s">
        <v>19</v>
      </c>
      <c r="C26" s="3" t="s">
        <v>144</v>
      </c>
      <c r="D26" s="3">
        <v>56</v>
      </c>
      <c r="E26" s="3" t="s">
        <v>70</v>
      </c>
      <c r="F26" s="3">
        <v>34</v>
      </c>
      <c r="G26" s="3" t="s">
        <v>18</v>
      </c>
      <c r="H26" s="5">
        <f>(D26/68)*3</f>
        <v>2.4705882352941178</v>
      </c>
      <c r="K26" s="2">
        <f>K25+2</f>
        <v>10</v>
      </c>
      <c r="L26" s="3" t="s">
        <v>24</v>
      </c>
      <c r="M26" s="3" t="s">
        <v>142</v>
      </c>
      <c r="N26" s="3">
        <v>21</v>
      </c>
      <c r="O26" s="3">
        <v>34</v>
      </c>
      <c r="P26" s="3" t="s">
        <v>15</v>
      </c>
      <c r="Q26" s="5">
        <f t="shared" si="3"/>
        <v>0.61764705882352944</v>
      </c>
    </row>
    <row r="27" spans="1:17" ht="18.75" customHeight="1" x14ac:dyDescent="0.3">
      <c r="A27" s="2">
        <f>A26</f>
        <v>9</v>
      </c>
      <c r="B27" s="3" t="s">
        <v>24</v>
      </c>
      <c r="C27" s="3" t="s">
        <v>17</v>
      </c>
      <c r="D27" s="3">
        <v>94</v>
      </c>
      <c r="E27" s="3">
        <v>114</v>
      </c>
      <c r="F27" s="3">
        <v>38</v>
      </c>
      <c r="G27" s="3" t="s">
        <v>18</v>
      </c>
      <c r="H27" s="5">
        <f>D27/F27</f>
        <v>2.4736842105263159</v>
      </c>
    </row>
  </sheetData>
  <mergeCells count="4">
    <mergeCell ref="A1:H1"/>
    <mergeCell ref="K1:Q1"/>
    <mergeCell ref="K15:Q15"/>
    <mergeCell ref="A15:H15"/>
  </mergeCells>
  <conditionalFormatting sqref="H3:H12"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7:H27"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5:H27 H22"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7:Q26">
    <cfRule type="colorScale" priority="27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38"/>
  <sheetViews>
    <sheetView zoomScaleNormal="100" workbookViewId="0">
      <selection activeCell="B4" sqref="B4"/>
    </sheetView>
  </sheetViews>
  <sheetFormatPr baseColWidth="10" defaultRowHeight="15" x14ac:dyDescent="0.25"/>
  <cols>
    <col min="2" max="2" width="19.42578125" customWidth="1"/>
    <col min="3" max="3" width="18" customWidth="1"/>
    <col min="4" max="4" width="14.7109375" customWidth="1"/>
    <col min="5" max="5" width="30.7109375" bestFit="1" customWidth="1"/>
    <col min="6" max="6" width="23.42578125" bestFit="1" customWidth="1"/>
    <col min="7" max="7" width="13.85546875" bestFit="1" customWidth="1"/>
    <col min="8" max="8" width="28.42578125" bestFit="1" customWidth="1"/>
    <col min="11" max="11" width="12.42578125" customWidth="1"/>
    <col min="12" max="12" width="24.85546875" bestFit="1" customWidth="1"/>
    <col min="13" max="13" width="15.5703125" customWidth="1"/>
    <col min="14" max="14" width="19" bestFit="1" customWidth="1"/>
    <col min="15" max="15" width="22.42578125" bestFit="1" customWidth="1"/>
    <col min="16" max="16" width="14.7109375" customWidth="1"/>
    <col min="17" max="17" width="32.85546875" bestFit="1" customWidth="1"/>
  </cols>
  <sheetData>
    <row r="1" spans="1:17" ht="18.75" customHeight="1" x14ac:dyDescent="0.3">
      <c r="A1" s="21" t="s">
        <v>292</v>
      </c>
      <c r="B1" s="20"/>
      <c r="C1" s="20"/>
      <c r="D1" s="20"/>
      <c r="E1" s="20"/>
      <c r="F1" s="20"/>
      <c r="G1" s="20"/>
      <c r="H1" s="20"/>
      <c r="K1" s="21" t="s">
        <v>293</v>
      </c>
      <c r="L1" s="20"/>
      <c r="M1" s="20"/>
      <c r="N1" s="20"/>
      <c r="O1" s="20"/>
      <c r="P1" s="20"/>
      <c r="Q1" s="20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10</v>
      </c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</row>
    <row r="3" spans="1:17" ht="18.75" customHeight="1" x14ac:dyDescent="0.3">
      <c r="A3" s="2">
        <v>1</v>
      </c>
      <c r="B3" s="3" t="s">
        <v>19</v>
      </c>
      <c r="C3" s="3" t="s">
        <v>20</v>
      </c>
      <c r="D3" s="3">
        <v>96</v>
      </c>
      <c r="E3" s="3">
        <v>114</v>
      </c>
      <c r="F3" s="3">
        <v>38</v>
      </c>
      <c r="G3" s="3" t="s">
        <v>15</v>
      </c>
      <c r="H3" s="5">
        <f t="shared" ref="H3:H8" si="0">D3/F3</f>
        <v>2.5263157894736841</v>
      </c>
      <c r="K3" s="2">
        <v>1</v>
      </c>
      <c r="L3" s="3" t="s">
        <v>89</v>
      </c>
      <c r="M3" s="3" t="s">
        <v>90</v>
      </c>
      <c r="N3" s="3">
        <v>73</v>
      </c>
      <c r="O3" s="3">
        <v>18</v>
      </c>
      <c r="P3" s="3" t="s">
        <v>18</v>
      </c>
      <c r="Q3" s="5">
        <f t="shared" ref="Q3:Q18" si="1">N3/O3</f>
        <v>4.0555555555555554</v>
      </c>
    </row>
    <row r="4" spans="1:17" ht="18.75" customHeight="1" x14ac:dyDescent="0.3">
      <c r="A4" s="2">
        <f>A3+1</f>
        <v>2</v>
      </c>
      <c r="B4" s="3" t="s">
        <v>19</v>
      </c>
      <c r="C4" s="3" t="s">
        <v>22</v>
      </c>
      <c r="D4" s="3">
        <v>92</v>
      </c>
      <c r="E4" s="3">
        <v>114</v>
      </c>
      <c r="F4" s="3">
        <v>38</v>
      </c>
      <c r="G4" s="3" t="s">
        <v>15</v>
      </c>
      <c r="H4" s="5">
        <f t="shared" si="0"/>
        <v>2.4210526315789473</v>
      </c>
      <c r="K4" s="2">
        <f>K3+1</f>
        <v>2</v>
      </c>
      <c r="L4" s="3" t="s">
        <v>89</v>
      </c>
      <c r="M4" s="3" t="s">
        <v>95</v>
      </c>
      <c r="N4" s="3">
        <v>63</v>
      </c>
      <c r="O4" s="3">
        <v>18</v>
      </c>
      <c r="P4" s="3" t="s">
        <v>18</v>
      </c>
      <c r="Q4" s="5">
        <f t="shared" si="1"/>
        <v>3.5</v>
      </c>
    </row>
    <row r="5" spans="1:17" ht="18.75" customHeight="1" x14ac:dyDescent="0.3">
      <c r="A5" s="2">
        <f>A4</f>
        <v>2</v>
      </c>
      <c r="B5" s="3" t="s">
        <v>19</v>
      </c>
      <c r="C5" s="3" t="s">
        <v>23</v>
      </c>
      <c r="D5" s="3">
        <v>92</v>
      </c>
      <c r="E5" s="3">
        <v>114</v>
      </c>
      <c r="F5" s="3">
        <v>38</v>
      </c>
      <c r="G5" s="3" t="s">
        <v>15</v>
      </c>
      <c r="H5" s="5">
        <f t="shared" si="0"/>
        <v>2.4210526315789473</v>
      </c>
      <c r="K5" s="2">
        <f>K4</f>
        <v>2</v>
      </c>
      <c r="L5" s="3" t="s">
        <v>89</v>
      </c>
      <c r="M5" s="3" t="s">
        <v>96</v>
      </c>
      <c r="N5" s="3">
        <v>63</v>
      </c>
      <c r="O5" s="3">
        <v>18</v>
      </c>
      <c r="P5" s="3" t="s">
        <v>15</v>
      </c>
      <c r="Q5" s="5">
        <f t="shared" si="1"/>
        <v>3.5</v>
      </c>
    </row>
    <row r="6" spans="1:17" ht="18.75" customHeight="1" x14ac:dyDescent="0.3">
      <c r="A6" s="2">
        <f>A5+2</f>
        <v>4</v>
      </c>
      <c r="B6" s="3" t="s">
        <v>24</v>
      </c>
      <c r="C6" s="3" t="s">
        <v>21</v>
      </c>
      <c r="D6" s="3">
        <v>91</v>
      </c>
      <c r="E6" s="3">
        <v>114</v>
      </c>
      <c r="F6" s="3">
        <v>38</v>
      </c>
      <c r="G6" s="3" t="s">
        <v>15</v>
      </c>
      <c r="H6" s="5">
        <f t="shared" si="0"/>
        <v>2.3947368421052633</v>
      </c>
      <c r="K6" s="2">
        <f>K4+2</f>
        <v>4</v>
      </c>
      <c r="L6" s="3" t="s">
        <v>89</v>
      </c>
      <c r="M6" s="3" t="s">
        <v>99</v>
      </c>
      <c r="N6" s="3">
        <v>61</v>
      </c>
      <c r="O6" s="3">
        <v>18</v>
      </c>
      <c r="P6" s="3" t="s">
        <v>18</v>
      </c>
      <c r="Q6" s="5">
        <f t="shared" si="1"/>
        <v>3.3888888888888888</v>
      </c>
    </row>
    <row r="7" spans="1:17" ht="18.75" customHeight="1" x14ac:dyDescent="0.3">
      <c r="A7" s="2">
        <f>A6+1</f>
        <v>5</v>
      </c>
      <c r="B7" s="3" t="s">
        <v>24</v>
      </c>
      <c r="C7" s="3" t="s">
        <v>25</v>
      </c>
      <c r="D7" s="3">
        <v>90</v>
      </c>
      <c r="E7" s="3">
        <v>114</v>
      </c>
      <c r="F7" s="3">
        <v>38</v>
      </c>
      <c r="G7" s="3" t="s">
        <v>15</v>
      </c>
      <c r="H7" s="5">
        <f t="shared" si="0"/>
        <v>2.3684210526315788</v>
      </c>
      <c r="K7" s="2">
        <f>K6+1</f>
        <v>5</v>
      </c>
      <c r="L7" s="3" t="s">
        <v>103</v>
      </c>
      <c r="M7" s="3" t="s">
        <v>104</v>
      </c>
      <c r="N7" s="3">
        <v>85</v>
      </c>
      <c r="O7" s="3">
        <v>26</v>
      </c>
      <c r="P7" s="3" t="s">
        <v>18</v>
      </c>
      <c r="Q7" s="5">
        <f t="shared" si="1"/>
        <v>3.2692307692307692</v>
      </c>
    </row>
    <row r="8" spans="1:17" ht="18.75" customHeight="1" x14ac:dyDescent="0.3">
      <c r="A8" s="2">
        <f>A7</f>
        <v>5</v>
      </c>
      <c r="B8" s="3" t="s">
        <v>19</v>
      </c>
      <c r="C8" s="3" t="s">
        <v>30</v>
      </c>
      <c r="D8" s="3">
        <v>90</v>
      </c>
      <c r="E8" s="3">
        <v>114</v>
      </c>
      <c r="F8" s="3">
        <v>38</v>
      </c>
      <c r="G8" s="3" t="s">
        <v>15</v>
      </c>
      <c r="H8" s="5">
        <f t="shared" si="0"/>
        <v>2.3684210526315788</v>
      </c>
      <c r="K8" s="2">
        <f>K7+1</f>
        <v>6</v>
      </c>
      <c r="L8" s="3" t="s">
        <v>24</v>
      </c>
      <c r="M8" s="3" t="s">
        <v>63</v>
      </c>
      <c r="N8" s="3">
        <v>96</v>
      </c>
      <c r="O8" s="3">
        <v>30</v>
      </c>
      <c r="P8" s="3" t="s">
        <v>18</v>
      </c>
      <c r="Q8" s="5">
        <f t="shared" si="1"/>
        <v>3.2</v>
      </c>
    </row>
    <row r="9" spans="1:17" ht="18.75" customHeight="1" x14ac:dyDescent="0.3">
      <c r="A9" s="2">
        <f>A8+2</f>
        <v>7</v>
      </c>
      <c r="B9" s="3" t="s">
        <v>24</v>
      </c>
      <c r="C9" s="3" t="s">
        <v>73</v>
      </c>
      <c r="D9" s="3">
        <v>47</v>
      </c>
      <c r="E9" s="3" t="s">
        <v>66</v>
      </c>
      <c r="F9" s="3">
        <v>30</v>
      </c>
      <c r="G9" s="3" t="s">
        <v>15</v>
      </c>
      <c r="H9" s="5">
        <f>(D9/60)*3</f>
        <v>2.35</v>
      </c>
      <c r="K9" s="2">
        <f>K8+1</f>
        <v>7</v>
      </c>
      <c r="L9" s="3" t="s">
        <v>19</v>
      </c>
      <c r="M9" s="3" t="s">
        <v>21</v>
      </c>
      <c r="N9" s="3">
        <v>121</v>
      </c>
      <c r="O9" s="3">
        <v>38</v>
      </c>
      <c r="P9" s="3" t="s">
        <v>18</v>
      </c>
      <c r="Q9" s="5">
        <f t="shared" si="1"/>
        <v>3.1842105263157894</v>
      </c>
    </row>
    <row r="10" spans="1:17" ht="18.75" customHeight="1" x14ac:dyDescent="0.3">
      <c r="A10" s="2">
        <f>A9</f>
        <v>7</v>
      </c>
      <c r="B10" s="3" t="s">
        <v>19</v>
      </c>
      <c r="C10" s="3" t="s">
        <v>63</v>
      </c>
      <c r="D10" s="3">
        <v>47</v>
      </c>
      <c r="E10" s="3" t="s">
        <v>66</v>
      </c>
      <c r="F10" s="3">
        <v>30</v>
      </c>
      <c r="G10" s="3" t="s">
        <v>15</v>
      </c>
      <c r="H10" s="5">
        <f>(D10/60)*3</f>
        <v>2.35</v>
      </c>
      <c r="K10" s="2">
        <f>K9</f>
        <v>7</v>
      </c>
      <c r="L10" s="3" t="s">
        <v>52</v>
      </c>
      <c r="M10" s="3" t="s">
        <v>107</v>
      </c>
      <c r="N10" s="3">
        <v>70</v>
      </c>
      <c r="O10" s="3">
        <v>22</v>
      </c>
      <c r="P10" s="3" t="s">
        <v>18</v>
      </c>
      <c r="Q10" s="5">
        <f t="shared" si="1"/>
        <v>3.1818181818181817</v>
      </c>
    </row>
    <row r="11" spans="1:17" ht="18.75" customHeight="1" x14ac:dyDescent="0.3">
      <c r="A11" s="2">
        <f>A10+2</f>
        <v>9</v>
      </c>
      <c r="B11" s="3" t="s">
        <v>19</v>
      </c>
      <c r="C11" s="3" t="s">
        <v>68</v>
      </c>
      <c r="D11" s="3">
        <v>46</v>
      </c>
      <c r="E11" s="3" t="s">
        <v>66</v>
      </c>
      <c r="F11" s="3">
        <v>30</v>
      </c>
      <c r="G11" s="3" t="s">
        <v>15</v>
      </c>
      <c r="H11" s="5">
        <f>(D11/60)*3</f>
        <v>2.3000000000000003</v>
      </c>
      <c r="K11" s="2">
        <f>K10</f>
        <v>7</v>
      </c>
      <c r="L11" s="3" t="s">
        <v>108</v>
      </c>
      <c r="M11" s="3" t="s">
        <v>107</v>
      </c>
      <c r="N11" s="3">
        <v>70</v>
      </c>
      <c r="O11" s="3">
        <v>22</v>
      </c>
      <c r="P11" s="3" t="s">
        <v>109</v>
      </c>
      <c r="Q11" s="5">
        <f t="shared" si="1"/>
        <v>3.1818181818181817</v>
      </c>
    </row>
    <row r="12" spans="1:17" ht="18.75" customHeight="1" x14ac:dyDescent="0.3">
      <c r="A12" s="2">
        <f>A11+1</f>
        <v>10</v>
      </c>
      <c r="B12" s="3" t="s">
        <v>289</v>
      </c>
      <c r="C12" s="3" t="s">
        <v>121</v>
      </c>
      <c r="D12" s="3">
        <v>52</v>
      </c>
      <c r="E12" s="3" t="s">
        <v>70</v>
      </c>
      <c r="F12" s="3">
        <v>34</v>
      </c>
      <c r="G12" s="3" t="s">
        <v>15</v>
      </c>
      <c r="H12" s="5">
        <f>(D12/68)*3</f>
        <v>2.2941176470588234</v>
      </c>
      <c r="K12" s="2">
        <f>K9+3</f>
        <v>10</v>
      </c>
      <c r="L12" s="3" t="s">
        <v>19</v>
      </c>
      <c r="M12" s="3" t="s">
        <v>23</v>
      </c>
      <c r="N12" s="3">
        <v>118</v>
      </c>
      <c r="O12" s="3">
        <v>38</v>
      </c>
      <c r="P12" s="3" t="s">
        <v>15</v>
      </c>
      <c r="Q12" s="5">
        <f t="shared" si="1"/>
        <v>3.1052631578947367</v>
      </c>
    </row>
    <row r="13" spans="1:17" ht="18.75" customHeight="1" x14ac:dyDescent="0.3">
      <c r="A13" s="2">
        <f>A12</f>
        <v>10</v>
      </c>
      <c r="B13" s="3" t="s">
        <v>24</v>
      </c>
      <c r="C13" s="3" t="s">
        <v>40</v>
      </c>
      <c r="D13" s="3">
        <v>87</v>
      </c>
      <c r="E13" s="3">
        <v>114</v>
      </c>
      <c r="F13" s="3">
        <v>38</v>
      </c>
      <c r="G13" s="3" t="s">
        <v>15</v>
      </c>
      <c r="H13" s="5">
        <f>D13/F13</f>
        <v>2.2894736842105261</v>
      </c>
      <c r="K13" s="2">
        <f>K12+1</f>
        <v>11</v>
      </c>
      <c r="L13" s="3" t="s">
        <v>19</v>
      </c>
      <c r="M13" s="3" t="s">
        <v>68</v>
      </c>
      <c r="N13" s="3">
        <v>92</v>
      </c>
      <c r="O13" s="3">
        <v>30</v>
      </c>
      <c r="P13" s="3" t="s">
        <v>18</v>
      </c>
      <c r="Q13" s="5">
        <f t="shared" si="1"/>
        <v>3.0666666666666669</v>
      </c>
    </row>
    <row r="14" spans="1:17" ht="18.75" customHeight="1" x14ac:dyDescent="0.3">
      <c r="A14" s="2">
        <f>A13</f>
        <v>10</v>
      </c>
      <c r="B14" s="3" t="s">
        <v>19</v>
      </c>
      <c r="C14" s="3" t="s">
        <v>40</v>
      </c>
      <c r="D14" s="3">
        <v>87</v>
      </c>
      <c r="E14" s="3">
        <v>114</v>
      </c>
      <c r="F14" s="3">
        <v>38</v>
      </c>
      <c r="G14" s="3" t="s">
        <v>44</v>
      </c>
      <c r="H14" s="5">
        <f>D14/F14</f>
        <v>2.2894736842105261</v>
      </c>
      <c r="K14" s="2">
        <f>K13</f>
        <v>11</v>
      </c>
      <c r="L14" s="3" t="s">
        <v>24</v>
      </c>
      <c r="M14" s="3" t="s">
        <v>244</v>
      </c>
      <c r="N14" s="3">
        <v>92</v>
      </c>
      <c r="O14" s="3">
        <v>30</v>
      </c>
      <c r="P14" s="3" t="s">
        <v>18</v>
      </c>
      <c r="Q14" s="5">
        <f t="shared" si="1"/>
        <v>3.0666666666666669</v>
      </c>
    </row>
    <row r="15" spans="1:17" ht="18.75" customHeight="1" x14ac:dyDescent="0.3">
      <c r="A15" s="2">
        <f>A14+3</f>
        <v>13</v>
      </c>
      <c r="B15" s="3" t="s">
        <v>19</v>
      </c>
      <c r="C15" s="3" t="s">
        <v>17</v>
      </c>
      <c r="D15" s="3">
        <v>86</v>
      </c>
      <c r="E15" s="3">
        <v>114</v>
      </c>
      <c r="F15" s="3">
        <v>38</v>
      </c>
      <c r="G15" s="3" t="s">
        <v>15</v>
      </c>
      <c r="H15" s="5">
        <f>D15/F15</f>
        <v>2.263157894736842</v>
      </c>
      <c r="K15" s="2">
        <f>K14+2</f>
        <v>13</v>
      </c>
      <c r="L15" s="3" t="s">
        <v>24</v>
      </c>
      <c r="M15" s="3" t="s">
        <v>25</v>
      </c>
      <c r="N15" s="3">
        <v>116</v>
      </c>
      <c r="O15" s="3">
        <v>38</v>
      </c>
      <c r="P15" s="3" t="s">
        <v>15</v>
      </c>
      <c r="Q15" s="5">
        <f t="shared" si="1"/>
        <v>3.0526315789473686</v>
      </c>
    </row>
    <row r="16" spans="1:17" ht="18.75" customHeight="1" x14ac:dyDescent="0.3">
      <c r="A16" s="2">
        <f>A15+1</f>
        <v>14</v>
      </c>
      <c r="B16" s="3" t="s">
        <v>19</v>
      </c>
      <c r="C16" s="3" t="s">
        <v>106</v>
      </c>
      <c r="D16" s="3">
        <v>33</v>
      </c>
      <c r="E16" s="3" t="s">
        <v>120</v>
      </c>
      <c r="F16" s="3">
        <v>22</v>
      </c>
      <c r="G16" s="3" t="s">
        <v>15</v>
      </c>
      <c r="H16" s="5">
        <f>(D16/44)*3</f>
        <v>2.25</v>
      </c>
      <c r="K16" s="2">
        <f>K15+1</f>
        <v>14</v>
      </c>
      <c r="L16" s="3" t="s">
        <v>24</v>
      </c>
      <c r="M16" s="3" t="s">
        <v>27</v>
      </c>
      <c r="N16" s="3">
        <v>115</v>
      </c>
      <c r="O16" s="3">
        <v>38</v>
      </c>
      <c r="P16" s="3" t="s">
        <v>18</v>
      </c>
      <c r="Q16" s="5">
        <f t="shared" si="1"/>
        <v>3.0263157894736841</v>
      </c>
    </row>
    <row r="17" spans="1:17" ht="18.75" customHeight="1" x14ac:dyDescent="0.3">
      <c r="A17" s="2">
        <f>A16+1</f>
        <v>15</v>
      </c>
      <c r="B17" s="3" t="s">
        <v>19</v>
      </c>
      <c r="C17" s="3" t="s">
        <v>27</v>
      </c>
      <c r="D17" s="3">
        <v>85</v>
      </c>
      <c r="E17" s="3">
        <v>114</v>
      </c>
      <c r="F17" s="3">
        <v>38</v>
      </c>
      <c r="G17" s="3" t="s">
        <v>15</v>
      </c>
      <c r="H17" s="5">
        <f>D17/F17</f>
        <v>2.236842105263158</v>
      </c>
      <c r="K17" s="2">
        <f>K16+1</f>
        <v>15</v>
      </c>
      <c r="L17" s="3" t="s">
        <v>24</v>
      </c>
      <c r="M17" s="3" t="s">
        <v>21</v>
      </c>
      <c r="N17" s="3">
        <v>114</v>
      </c>
      <c r="O17" s="3">
        <v>38</v>
      </c>
      <c r="P17" s="3" t="s">
        <v>15</v>
      </c>
      <c r="Q17" s="5">
        <f t="shared" si="1"/>
        <v>3</v>
      </c>
    </row>
    <row r="18" spans="1:17" ht="18.75" customHeight="1" x14ac:dyDescent="0.3">
      <c r="A18" s="2">
        <f>A17</f>
        <v>15</v>
      </c>
      <c r="B18" s="3" t="s">
        <v>24</v>
      </c>
      <c r="C18" s="3" t="s">
        <v>35</v>
      </c>
      <c r="D18" s="3">
        <v>85</v>
      </c>
      <c r="E18" s="3">
        <v>114</v>
      </c>
      <c r="F18" s="3">
        <v>38</v>
      </c>
      <c r="G18" s="3" t="s">
        <v>15</v>
      </c>
      <c r="H18" s="5">
        <f>D18/F18</f>
        <v>2.236842105263158</v>
      </c>
      <c r="K18" s="2">
        <f>K17</f>
        <v>15</v>
      </c>
      <c r="L18" s="3" t="s">
        <v>103</v>
      </c>
      <c r="M18" s="3" t="s">
        <v>177</v>
      </c>
      <c r="N18" s="3">
        <v>78</v>
      </c>
      <c r="O18" s="3">
        <v>26</v>
      </c>
      <c r="P18" s="3" t="s">
        <v>15</v>
      </c>
      <c r="Q18" s="5">
        <f t="shared" si="1"/>
        <v>3</v>
      </c>
    </row>
    <row r="21" spans="1:17" ht="18.75" customHeight="1" x14ac:dyDescent="0.3">
      <c r="A21" s="21" t="s">
        <v>294</v>
      </c>
      <c r="B21" s="20"/>
      <c r="C21" s="20"/>
      <c r="D21" s="20"/>
      <c r="E21" s="20"/>
      <c r="F21" s="20"/>
      <c r="G21" s="20"/>
      <c r="H21" s="20"/>
      <c r="K21" s="21" t="s">
        <v>295</v>
      </c>
      <c r="L21" s="20"/>
      <c r="M21" s="20"/>
      <c r="N21" s="20"/>
      <c r="O21" s="20"/>
      <c r="P21" s="20"/>
      <c r="Q21" s="20"/>
    </row>
    <row r="22" spans="1:17" ht="18.75" customHeight="1" x14ac:dyDescent="0.3">
      <c r="A22" s="2" t="s">
        <v>4</v>
      </c>
      <c r="B22" s="2" t="s">
        <v>5</v>
      </c>
      <c r="C22" s="2" t="s">
        <v>6</v>
      </c>
      <c r="D22" s="2" t="s">
        <v>7</v>
      </c>
      <c r="E22" s="2" t="s">
        <v>62</v>
      </c>
      <c r="F22" s="2" t="s">
        <v>8</v>
      </c>
      <c r="G22" s="2" t="s">
        <v>9</v>
      </c>
      <c r="H22" s="2" t="s">
        <v>10</v>
      </c>
      <c r="K22" s="2" t="s">
        <v>4</v>
      </c>
      <c r="L22" s="2" t="s">
        <v>5</v>
      </c>
      <c r="M22" s="2" t="s">
        <v>6</v>
      </c>
      <c r="N22" s="2" t="s">
        <v>201</v>
      </c>
      <c r="O22" s="2" t="s">
        <v>8</v>
      </c>
      <c r="P22" s="2" t="s">
        <v>9</v>
      </c>
      <c r="Q22" s="2" t="s">
        <v>202</v>
      </c>
    </row>
    <row r="23" spans="1:17" ht="18.75" customHeight="1" x14ac:dyDescent="0.3">
      <c r="A23" s="2">
        <v>1</v>
      </c>
      <c r="B23" s="3" t="s">
        <v>24</v>
      </c>
      <c r="C23" s="3" t="s">
        <v>27</v>
      </c>
      <c r="D23" s="3">
        <v>100</v>
      </c>
      <c r="E23" s="3">
        <v>114</v>
      </c>
      <c r="F23" s="3">
        <v>38</v>
      </c>
      <c r="G23" s="3" t="s">
        <v>18</v>
      </c>
      <c r="H23" s="5">
        <f>D23/F23</f>
        <v>2.6315789473684212</v>
      </c>
      <c r="K23" s="2">
        <v>1</v>
      </c>
      <c r="L23" s="3" t="s">
        <v>368</v>
      </c>
      <c r="M23" s="3" t="s">
        <v>81</v>
      </c>
      <c r="N23" s="3">
        <v>18</v>
      </c>
      <c r="O23" s="3">
        <v>38</v>
      </c>
      <c r="P23" s="3" t="s">
        <v>15</v>
      </c>
      <c r="Q23" s="5">
        <f t="shared" ref="Q23:Q38" si="2">N23/O23</f>
        <v>0.47368421052631576</v>
      </c>
    </row>
    <row r="24" spans="1:17" ht="18.75" customHeight="1" x14ac:dyDescent="0.3">
      <c r="A24" s="2">
        <f>A23</f>
        <v>1</v>
      </c>
      <c r="B24" s="3" t="s">
        <v>19</v>
      </c>
      <c r="C24" s="3" t="s">
        <v>21</v>
      </c>
      <c r="D24" s="3">
        <v>100</v>
      </c>
      <c r="E24" s="3">
        <v>114</v>
      </c>
      <c r="F24" s="3">
        <v>38</v>
      </c>
      <c r="G24" s="3" t="s">
        <v>18</v>
      </c>
      <c r="H24" s="5">
        <f>D24/F24</f>
        <v>2.6315789473684212</v>
      </c>
      <c r="K24" s="2">
        <v>1</v>
      </c>
      <c r="L24" s="3" t="s">
        <v>370</v>
      </c>
      <c r="M24" s="3" t="s">
        <v>30</v>
      </c>
      <c r="N24" s="3">
        <v>18</v>
      </c>
      <c r="O24" s="3">
        <v>38</v>
      </c>
      <c r="P24" s="3" t="s">
        <v>44</v>
      </c>
      <c r="Q24" s="5">
        <f t="shared" si="2"/>
        <v>0.47368421052631576</v>
      </c>
    </row>
    <row r="25" spans="1:17" ht="18.75" customHeight="1" x14ac:dyDescent="0.3">
      <c r="A25" s="2">
        <f>A24+2</f>
        <v>3</v>
      </c>
      <c r="B25" s="3" t="s">
        <v>24</v>
      </c>
      <c r="C25" s="3" t="s">
        <v>20</v>
      </c>
      <c r="D25" s="3">
        <v>99</v>
      </c>
      <c r="E25" s="3">
        <v>114</v>
      </c>
      <c r="F25" s="3">
        <v>38</v>
      </c>
      <c r="G25" s="3" t="s">
        <v>18</v>
      </c>
      <c r="H25" s="5">
        <f>D25/F25</f>
        <v>2.6052631578947367</v>
      </c>
      <c r="K25" s="2">
        <f>K23+2</f>
        <v>3</v>
      </c>
      <c r="L25" s="3" t="s">
        <v>24</v>
      </c>
      <c r="M25" s="3" t="s">
        <v>54</v>
      </c>
      <c r="N25" s="3">
        <v>20</v>
      </c>
      <c r="O25" s="3">
        <v>38</v>
      </c>
      <c r="P25" s="3" t="s">
        <v>18</v>
      </c>
      <c r="Q25" s="5">
        <f t="shared" si="2"/>
        <v>0.52631578947368418</v>
      </c>
    </row>
    <row r="26" spans="1:17" ht="18.75" customHeight="1" x14ac:dyDescent="0.3">
      <c r="A26" s="2">
        <f>A25+1</f>
        <v>4</v>
      </c>
      <c r="B26" s="3" t="s">
        <v>19</v>
      </c>
      <c r="C26" s="3" t="s">
        <v>72</v>
      </c>
      <c r="D26" s="3">
        <v>52</v>
      </c>
      <c r="E26" s="3" t="s">
        <v>66</v>
      </c>
      <c r="F26" s="3">
        <v>30</v>
      </c>
      <c r="G26" s="3" t="s">
        <v>18</v>
      </c>
      <c r="H26" s="5">
        <f>(D26/60)*3</f>
        <v>2.6</v>
      </c>
      <c r="K26" s="2">
        <f>K25+1</f>
        <v>4</v>
      </c>
      <c r="L26" s="3" t="s">
        <v>24</v>
      </c>
      <c r="M26" s="3" t="s">
        <v>22</v>
      </c>
      <c r="N26" s="3">
        <v>21</v>
      </c>
      <c r="O26" s="3">
        <v>38</v>
      </c>
      <c r="P26" s="3" t="s">
        <v>18</v>
      </c>
      <c r="Q26" s="5">
        <f t="shared" si="2"/>
        <v>0.55263157894736847</v>
      </c>
    </row>
    <row r="27" spans="1:17" ht="18.75" customHeight="1" x14ac:dyDescent="0.3">
      <c r="A27" s="2">
        <f>A26+1</f>
        <v>5</v>
      </c>
      <c r="B27" s="3" t="s">
        <v>24</v>
      </c>
      <c r="C27" s="3" t="s">
        <v>63</v>
      </c>
      <c r="D27" s="3">
        <v>51</v>
      </c>
      <c r="E27" s="3" t="s">
        <v>66</v>
      </c>
      <c r="F27" s="3">
        <v>30</v>
      </c>
      <c r="G27" s="3" t="s">
        <v>18</v>
      </c>
      <c r="H27" s="5">
        <f>(D27/60)*3</f>
        <v>2.5499999999999998</v>
      </c>
      <c r="K27" s="2">
        <f>K26</f>
        <v>4</v>
      </c>
      <c r="L27" s="3" t="s">
        <v>24</v>
      </c>
      <c r="M27" s="3" t="s">
        <v>23</v>
      </c>
      <c r="N27" s="3">
        <v>21</v>
      </c>
      <c r="O27" s="3">
        <v>38</v>
      </c>
      <c r="P27" s="3" t="s">
        <v>18</v>
      </c>
      <c r="Q27" s="5">
        <f t="shared" si="2"/>
        <v>0.55263157894736847</v>
      </c>
    </row>
    <row r="28" spans="1:17" ht="18.75" customHeight="1" x14ac:dyDescent="0.3">
      <c r="A28" s="2">
        <f>A27+1</f>
        <v>6</v>
      </c>
      <c r="B28" s="3" t="s">
        <v>24</v>
      </c>
      <c r="C28" s="3" t="s">
        <v>22</v>
      </c>
      <c r="D28" s="3">
        <v>96</v>
      </c>
      <c r="E28" s="3">
        <v>114</v>
      </c>
      <c r="F28" s="3">
        <v>38</v>
      </c>
      <c r="G28" s="3" t="s">
        <v>18</v>
      </c>
      <c r="H28" s="5">
        <f>D28/F28</f>
        <v>2.5263157894736841</v>
      </c>
      <c r="K28" s="2">
        <f>K27+2</f>
        <v>6</v>
      </c>
      <c r="L28" s="3" t="s">
        <v>370</v>
      </c>
      <c r="M28" s="3" t="s">
        <v>29</v>
      </c>
      <c r="N28" s="3">
        <v>22</v>
      </c>
      <c r="O28" s="3">
        <v>38</v>
      </c>
      <c r="P28" s="3" t="s">
        <v>15</v>
      </c>
      <c r="Q28" s="5">
        <f t="shared" si="2"/>
        <v>0.57894736842105265</v>
      </c>
    </row>
    <row r="29" spans="1:17" ht="18.75" customHeight="1" x14ac:dyDescent="0.3">
      <c r="A29" s="2">
        <f>A28</f>
        <v>6</v>
      </c>
      <c r="B29" s="3" t="s">
        <v>19</v>
      </c>
      <c r="C29" s="3" t="s">
        <v>20</v>
      </c>
      <c r="D29" s="3">
        <v>96</v>
      </c>
      <c r="E29" s="3">
        <v>114</v>
      </c>
      <c r="F29" s="3">
        <v>38</v>
      </c>
      <c r="G29" s="3" t="s">
        <v>15</v>
      </c>
      <c r="H29" s="5">
        <f>D29/F29</f>
        <v>2.5263157894736841</v>
      </c>
      <c r="K29" s="2">
        <f>K28+1</f>
        <v>7</v>
      </c>
      <c r="L29" s="3" t="s">
        <v>289</v>
      </c>
      <c r="M29" s="3" t="s">
        <v>121</v>
      </c>
      <c r="N29" s="3">
        <v>20</v>
      </c>
      <c r="O29" s="3">
        <v>34</v>
      </c>
      <c r="P29" s="3" t="s">
        <v>15</v>
      </c>
      <c r="Q29" s="5">
        <f t="shared" si="2"/>
        <v>0.58823529411764708</v>
      </c>
    </row>
    <row r="30" spans="1:17" ht="18.75" customHeight="1" x14ac:dyDescent="0.3">
      <c r="A30" s="2">
        <f>A29+2</f>
        <v>8</v>
      </c>
      <c r="B30" s="3" t="s">
        <v>89</v>
      </c>
      <c r="C30" s="3" t="s">
        <v>95</v>
      </c>
      <c r="D30" s="3">
        <v>30</v>
      </c>
      <c r="E30" s="3" t="s">
        <v>162</v>
      </c>
      <c r="F30" s="3">
        <v>18</v>
      </c>
      <c r="G30" s="3" t="s">
        <v>18</v>
      </c>
      <c r="H30" s="5">
        <f>(D30/36)*3</f>
        <v>2.5</v>
      </c>
      <c r="K30" s="2">
        <f>K29+1</f>
        <v>8</v>
      </c>
      <c r="L30" s="3" t="s">
        <v>19</v>
      </c>
      <c r="M30" s="3" t="s">
        <v>146</v>
      </c>
      <c r="N30" s="3">
        <v>18</v>
      </c>
      <c r="O30" s="3">
        <v>30</v>
      </c>
      <c r="P30" s="3" t="s">
        <v>18</v>
      </c>
      <c r="Q30" s="5">
        <f t="shared" si="2"/>
        <v>0.6</v>
      </c>
    </row>
    <row r="31" spans="1:17" ht="18.75" customHeight="1" x14ac:dyDescent="0.3">
      <c r="A31" s="2">
        <f>A30</f>
        <v>8</v>
      </c>
      <c r="B31" s="3" t="s">
        <v>19</v>
      </c>
      <c r="C31" s="3" t="s">
        <v>35</v>
      </c>
      <c r="D31" s="3">
        <v>95</v>
      </c>
      <c r="E31" s="3">
        <v>114</v>
      </c>
      <c r="F31" s="3">
        <v>38</v>
      </c>
      <c r="G31" s="3" t="s">
        <v>18</v>
      </c>
      <c r="H31" s="5">
        <f>D31/F31</f>
        <v>2.5</v>
      </c>
      <c r="K31" s="2">
        <f>K29+1</f>
        <v>8</v>
      </c>
      <c r="L31" s="3" t="s">
        <v>24</v>
      </c>
      <c r="M31" s="3" t="s">
        <v>80</v>
      </c>
      <c r="N31" s="3">
        <v>18</v>
      </c>
      <c r="O31" s="3">
        <v>30</v>
      </c>
      <c r="P31" s="3" t="s">
        <v>44</v>
      </c>
      <c r="Q31" s="5">
        <f t="shared" si="2"/>
        <v>0.6</v>
      </c>
    </row>
    <row r="32" spans="1:17" ht="18.75" customHeight="1" x14ac:dyDescent="0.3">
      <c r="A32" s="2">
        <f>A31+2</f>
        <v>10</v>
      </c>
      <c r="B32" s="3" t="s">
        <v>24</v>
      </c>
      <c r="C32" s="3" t="s">
        <v>23</v>
      </c>
      <c r="D32" s="3">
        <v>94</v>
      </c>
      <c r="E32" s="3">
        <v>114</v>
      </c>
      <c r="F32" s="3">
        <v>38</v>
      </c>
      <c r="G32" s="3" t="s">
        <v>18</v>
      </c>
      <c r="H32" s="5">
        <f>D32/F32</f>
        <v>2.4736842105263159</v>
      </c>
      <c r="K32" s="2">
        <f>K31+2</f>
        <v>10</v>
      </c>
      <c r="L32" s="3" t="s">
        <v>24</v>
      </c>
      <c r="M32" s="3" t="s">
        <v>142</v>
      </c>
      <c r="N32" s="3">
        <v>21</v>
      </c>
      <c r="O32" s="3">
        <v>34</v>
      </c>
      <c r="P32" s="3" t="s">
        <v>15</v>
      </c>
      <c r="Q32" s="5">
        <f t="shared" si="2"/>
        <v>0.61764705882352944</v>
      </c>
    </row>
    <row r="33" spans="1:17" ht="18.75" customHeight="1" x14ac:dyDescent="0.3">
      <c r="A33" s="2">
        <f>A32</f>
        <v>10</v>
      </c>
      <c r="B33" s="3" t="s">
        <v>19</v>
      </c>
      <c r="C33" s="3" t="s">
        <v>144</v>
      </c>
      <c r="D33" s="3">
        <v>56</v>
      </c>
      <c r="E33" s="3" t="s">
        <v>70</v>
      </c>
      <c r="F33" s="3">
        <v>34</v>
      </c>
      <c r="G33" s="3" t="s">
        <v>18</v>
      </c>
      <c r="H33" s="5">
        <f>(D33/68)*3</f>
        <v>2.4705882352941178</v>
      </c>
      <c r="K33" s="2">
        <f>K32+1</f>
        <v>11</v>
      </c>
      <c r="L33" s="3" t="s">
        <v>24</v>
      </c>
      <c r="M33" s="3" t="s">
        <v>20</v>
      </c>
      <c r="N33" s="3">
        <v>24</v>
      </c>
      <c r="O33" s="3">
        <v>38</v>
      </c>
      <c r="P33" s="3" t="s">
        <v>18</v>
      </c>
      <c r="Q33" s="5">
        <f t="shared" si="2"/>
        <v>0.63157894736842102</v>
      </c>
    </row>
    <row r="34" spans="1:17" ht="18.75" customHeight="1" x14ac:dyDescent="0.3">
      <c r="A34" s="2">
        <f>A33</f>
        <v>10</v>
      </c>
      <c r="B34" s="3" t="s">
        <v>24</v>
      </c>
      <c r="C34" s="3" t="s">
        <v>17</v>
      </c>
      <c r="D34" s="3">
        <v>94</v>
      </c>
      <c r="E34" s="3">
        <v>114</v>
      </c>
      <c r="F34" s="3">
        <v>38</v>
      </c>
      <c r="G34" s="3" t="s">
        <v>18</v>
      </c>
      <c r="H34" s="5">
        <f>D34/F34</f>
        <v>2.4736842105263159</v>
      </c>
      <c r="K34" s="2">
        <f>K33</f>
        <v>11</v>
      </c>
      <c r="L34" s="3" t="s">
        <v>103</v>
      </c>
      <c r="M34" s="3" t="s">
        <v>116</v>
      </c>
      <c r="N34" s="3">
        <v>19</v>
      </c>
      <c r="O34" s="3">
        <v>30</v>
      </c>
      <c r="P34" s="3" t="s">
        <v>18</v>
      </c>
      <c r="Q34" s="5">
        <f t="shared" si="2"/>
        <v>0.6333333333333333</v>
      </c>
    </row>
    <row r="35" spans="1:17" ht="18.75" customHeight="1" x14ac:dyDescent="0.3">
      <c r="A35" s="2">
        <f>A34+3</f>
        <v>13</v>
      </c>
      <c r="B35" s="3" t="s">
        <v>19</v>
      </c>
      <c r="C35" s="3" t="s">
        <v>155</v>
      </c>
      <c r="D35" s="3">
        <v>49</v>
      </c>
      <c r="E35" s="3" t="s">
        <v>66</v>
      </c>
      <c r="F35" s="3">
        <v>38</v>
      </c>
      <c r="G35" s="3" t="s">
        <v>18</v>
      </c>
      <c r="H35" s="5">
        <f>(D35/60)*3</f>
        <v>2.4500000000000002</v>
      </c>
      <c r="K35" s="2">
        <f>K34+2</f>
        <v>13</v>
      </c>
      <c r="L35" s="3" t="s">
        <v>19</v>
      </c>
      <c r="M35" s="3" t="s">
        <v>32</v>
      </c>
      <c r="N35" s="3">
        <v>25</v>
      </c>
      <c r="O35" s="3">
        <v>38</v>
      </c>
      <c r="P35" s="3" t="s">
        <v>18</v>
      </c>
      <c r="Q35" s="5">
        <f t="shared" si="2"/>
        <v>0.65789473684210531</v>
      </c>
    </row>
    <row r="36" spans="1:17" ht="18.75" customHeight="1" x14ac:dyDescent="0.3">
      <c r="A36" s="2">
        <f>A35</f>
        <v>13</v>
      </c>
      <c r="B36" s="3" t="s">
        <v>19</v>
      </c>
      <c r="C36" s="3" t="s">
        <v>25</v>
      </c>
      <c r="D36" s="3">
        <v>93</v>
      </c>
      <c r="E36" s="3">
        <v>114</v>
      </c>
      <c r="F36" s="3">
        <v>38</v>
      </c>
      <c r="G36" s="3" t="s">
        <v>18</v>
      </c>
      <c r="H36" s="5">
        <f>D36/F36</f>
        <v>2.4473684210526314</v>
      </c>
      <c r="K36" s="2">
        <f>K35</f>
        <v>13</v>
      </c>
      <c r="L36" s="3" t="s">
        <v>370</v>
      </c>
      <c r="M36" s="3" t="s">
        <v>32</v>
      </c>
      <c r="N36" s="3">
        <v>25</v>
      </c>
      <c r="O36" s="3">
        <v>38</v>
      </c>
      <c r="P36" s="3" t="s">
        <v>18</v>
      </c>
      <c r="Q36" s="5">
        <f t="shared" si="2"/>
        <v>0.65789473684210531</v>
      </c>
    </row>
    <row r="37" spans="1:17" ht="18.75" customHeight="1" x14ac:dyDescent="0.3">
      <c r="A37" s="2">
        <f>A36</f>
        <v>13</v>
      </c>
      <c r="B37" s="3" t="s">
        <v>24</v>
      </c>
      <c r="C37" s="3" t="s">
        <v>29</v>
      </c>
      <c r="D37" s="3">
        <v>93</v>
      </c>
      <c r="E37" s="3">
        <v>114</v>
      </c>
      <c r="F37" s="3">
        <v>38</v>
      </c>
      <c r="G37" s="3" t="s">
        <v>18</v>
      </c>
      <c r="H37" s="5">
        <f>D37/F37</f>
        <v>2.4473684210526314</v>
      </c>
      <c r="K37" s="2">
        <f>K36</f>
        <v>13</v>
      </c>
      <c r="L37" s="3" t="s">
        <v>24</v>
      </c>
      <c r="M37" s="3" t="s">
        <v>296</v>
      </c>
      <c r="N37" s="3">
        <v>29</v>
      </c>
      <c r="O37" s="3">
        <v>44</v>
      </c>
      <c r="P37" s="3" t="s">
        <v>15</v>
      </c>
      <c r="Q37" s="5">
        <f t="shared" si="2"/>
        <v>0.65909090909090906</v>
      </c>
    </row>
    <row r="38" spans="1:17" ht="18.75" customHeight="1" x14ac:dyDescent="0.3">
      <c r="K38" s="2">
        <f>K36</f>
        <v>13</v>
      </c>
      <c r="L38" s="3" t="s">
        <v>297</v>
      </c>
      <c r="M38" s="3" t="s">
        <v>157</v>
      </c>
      <c r="N38" s="3">
        <v>25</v>
      </c>
      <c r="O38" s="3">
        <v>38</v>
      </c>
      <c r="P38" s="3" t="s">
        <v>44</v>
      </c>
      <c r="Q38" s="5">
        <f t="shared" si="2"/>
        <v>0.65789473684210531</v>
      </c>
    </row>
  </sheetData>
  <mergeCells count="4">
    <mergeCell ref="A21:H21"/>
    <mergeCell ref="K1:Q1"/>
    <mergeCell ref="K21:Q21"/>
    <mergeCell ref="A1:H1"/>
  </mergeCells>
  <conditionalFormatting sqref="H3:H12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18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:H18"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2:H3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3:H33 H35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3:H33 H35:H37">
    <cfRule type="colorScale" priority="6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3:H37">
    <cfRule type="colorScale" priority="6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1:H33 H28 H35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6:H37">
    <cfRule type="colorScale" priority="6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8"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3:Q3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23:Q38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3:Q38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49"/>
  <sheetViews>
    <sheetView topLeftCell="D1" workbookViewId="0">
      <selection activeCell="M21" sqref="M21"/>
    </sheetView>
  </sheetViews>
  <sheetFormatPr baseColWidth="10" defaultRowHeight="15" x14ac:dyDescent="0.25"/>
  <cols>
    <col min="1" max="1" width="12.85546875" customWidth="1"/>
    <col min="2" max="2" width="23" bestFit="1" customWidth="1"/>
    <col min="3" max="3" width="14.85546875" customWidth="1"/>
    <col min="4" max="4" width="14" bestFit="1" customWidth="1"/>
    <col min="5" max="5" width="22.42578125" bestFit="1" customWidth="1"/>
    <col min="6" max="6" width="14.140625" customWidth="1"/>
    <col min="7" max="7" width="32.140625" customWidth="1"/>
    <col min="8" max="8" width="8" customWidth="1"/>
    <col min="9" max="9" width="8.5703125" customWidth="1"/>
    <col min="10" max="10" width="12.140625" customWidth="1"/>
    <col min="11" max="11" width="32.140625" bestFit="1" customWidth="1"/>
    <col min="12" max="12" width="13.5703125" customWidth="1"/>
    <col min="13" max="13" width="19" bestFit="1" customWidth="1"/>
    <col min="14" max="14" width="23.42578125" bestFit="1" customWidth="1"/>
    <col min="15" max="15" width="13.85546875" bestFit="1" customWidth="1"/>
    <col min="16" max="16" width="33.5703125" bestFit="1" customWidth="1"/>
  </cols>
  <sheetData>
    <row r="1" spans="1:17" ht="18.75" customHeight="1" x14ac:dyDescent="0.3">
      <c r="A1" s="21" t="s">
        <v>298</v>
      </c>
      <c r="B1" s="20"/>
      <c r="C1" s="20"/>
      <c r="D1" s="20"/>
      <c r="E1" s="20"/>
      <c r="F1" s="20"/>
      <c r="G1" s="20"/>
      <c r="H1" s="1"/>
      <c r="I1" s="1"/>
      <c r="J1" s="21" t="s">
        <v>299</v>
      </c>
      <c r="K1" s="20"/>
      <c r="L1" s="20"/>
      <c r="M1" s="20"/>
      <c r="N1" s="20"/>
      <c r="O1" s="20"/>
      <c r="P1" s="20"/>
      <c r="Q1" s="12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1"/>
      <c r="I2" s="1"/>
      <c r="J2" s="2" t="s">
        <v>4</v>
      </c>
      <c r="K2" s="2" t="s">
        <v>5</v>
      </c>
      <c r="L2" s="2" t="s">
        <v>6</v>
      </c>
      <c r="M2" s="2" t="s">
        <v>11</v>
      </c>
      <c r="N2" s="2" t="s">
        <v>8</v>
      </c>
      <c r="O2" s="2" t="s">
        <v>9</v>
      </c>
      <c r="P2" s="2" t="s">
        <v>12</v>
      </c>
      <c r="Q2" s="12"/>
    </row>
    <row r="3" spans="1:17" ht="18.75" customHeight="1" x14ac:dyDescent="0.3">
      <c r="A3" s="2">
        <f>1</f>
        <v>1</v>
      </c>
      <c r="B3" s="3" t="s">
        <v>39</v>
      </c>
      <c r="C3" s="3" t="s">
        <v>30</v>
      </c>
      <c r="D3" s="3">
        <v>78</v>
      </c>
      <c r="E3" s="3">
        <v>34</v>
      </c>
      <c r="F3" s="3" t="s">
        <v>15</v>
      </c>
      <c r="G3" s="5">
        <f t="shared" ref="G3:G12" si="0">D3/E3</f>
        <v>2.2941176470588234</v>
      </c>
      <c r="H3" s="1"/>
      <c r="I3" s="1"/>
      <c r="J3" s="2">
        <v>1</v>
      </c>
      <c r="K3" s="3" t="s">
        <v>16</v>
      </c>
      <c r="L3" s="3" t="s">
        <v>17</v>
      </c>
      <c r="M3" s="3">
        <v>122</v>
      </c>
      <c r="N3" s="3">
        <v>34</v>
      </c>
      <c r="O3" s="3" t="s">
        <v>18</v>
      </c>
      <c r="P3" s="5">
        <f t="shared" ref="P3:P12" si="1">M3/N3</f>
        <v>3.5882352941176472</v>
      </c>
      <c r="Q3" s="12"/>
    </row>
    <row r="4" spans="1:17" ht="18.75" customHeight="1" x14ac:dyDescent="0.3">
      <c r="A4" s="2">
        <f>A3+1</f>
        <v>2</v>
      </c>
      <c r="B4" s="3" t="s">
        <v>39</v>
      </c>
      <c r="C4" s="3" t="s">
        <v>14</v>
      </c>
      <c r="D4" s="3">
        <v>76</v>
      </c>
      <c r="E4" s="3">
        <v>34</v>
      </c>
      <c r="F4" s="3" t="s">
        <v>15</v>
      </c>
      <c r="G4" s="5">
        <f t="shared" si="0"/>
        <v>2.2352941176470589</v>
      </c>
      <c r="H4" s="1"/>
      <c r="I4" s="1"/>
      <c r="J4" s="2">
        <f>J3+1</f>
        <v>2</v>
      </c>
      <c r="K4" s="3" t="s">
        <v>16</v>
      </c>
      <c r="L4" s="3" t="s">
        <v>31</v>
      </c>
      <c r="M4" s="3">
        <v>100</v>
      </c>
      <c r="N4" s="3">
        <v>34</v>
      </c>
      <c r="O4" s="3" t="s">
        <v>18</v>
      </c>
      <c r="P4" s="5">
        <f t="shared" si="1"/>
        <v>2.9411764705882355</v>
      </c>
      <c r="Q4" s="12"/>
    </row>
    <row r="5" spans="1:17" ht="18.75" customHeight="1" x14ac:dyDescent="0.3">
      <c r="A5" s="2">
        <f>A4+1</f>
        <v>3</v>
      </c>
      <c r="B5" s="3" t="s">
        <v>16</v>
      </c>
      <c r="C5" s="3" t="s">
        <v>21</v>
      </c>
      <c r="D5" s="3">
        <v>73</v>
      </c>
      <c r="E5" s="3">
        <v>34</v>
      </c>
      <c r="F5" s="3" t="s">
        <v>15</v>
      </c>
      <c r="G5" s="5">
        <f t="shared" si="0"/>
        <v>2.1470588235294117</v>
      </c>
      <c r="H5" s="1"/>
      <c r="I5" s="1"/>
      <c r="J5" s="2">
        <f>J4+1</f>
        <v>3</v>
      </c>
      <c r="K5" s="3" t="s">
        <v>16</v>
      </c>
      <c r="L5" s="3" t="s">
        <v>32</v>
      </c>
      <c r="M5" s="3">
        <v>99</v>
      </c>
      <c r="N5" s="3">
        <v>34</v>
      </c>
      <c r="O5" s="3" t="s">
        <v>18</v>
      </c>
      <c r="P5" s="5">
        <f t="shared" si="1"/>
        <v>2.9117647058823528</v>
      </c>
      <c r="Q5" s="12"/>
    </row>
    <row r="6" spans="1:17" ht="18.75" customHeight="1" x14ac:dyDescent="0.3">
      <c r="A6" s="2">
        <f>A5</f>
        <v>3</v>
      </c>
      <c r="B6" s="3" t="s">
        <v>51</v>
      </c>
      <c r="C6" s="3" t="s">
        <v>133</v>
      </c>
      <c r="D6" s="3">
        <v>73</v>
      </c>
      <c r="E6" s="3">
        <v>34</v>
      </c>
      <c r="F6" s="3" t="s">
        <v>15</v>
      </c>
      <c r="G6" s="5">
        <f t="shared" si="0"/>
        <v>2.1470588235294117</v>
      </c>
      <c r="H6" s="1"/>
      <c r="I6" s="1"/>
      <c r="J6" s="2">
        <f>J5</f>
        <v>3</v>
      </c>
      <c r="K6" s="3" t="s">
        <v>16</v>
      </c>
      <c r="L6" s="3" t="s">
        <v>135</v>
      </c>
      <c r="M6" s="3">
        <v>99</v>
      </c>
      <c r="N6" s="3">
        <v>34</v>
      </c>
      <c r="O6" s="3" t="s">
        <v>18</v>
      </c>
      <c r="P6" s="5">
        <f t="shared" si="1"/>
        <v>2.9117647058823528</v>
      </c>
      <c r="Q6" s="12"/>
    </row>
    <row r="7" spans="1:17" ht="18.75" customHeight="1" x14ac:dyDescent="0.3">
      <c r="A7" s="2">
        <f>A6</f>
        <v>3</v>
      </c>
      <c r="B7" s="3" t="s">
        <v>300</v>
      </c>
      <c r="C7" s="3" t="s">
        <v>35</v>
      </c>
      <c r="D7" s="3">
        <v>73</v>
      </c>
      <c r="E7" s="3">
        <v>34</v>
      </c>
      <c r="F7" s="3" t="s">
        <v>15</v>
      </c>
      <c r="G7" s="5">
        <f t="shared" si="0"/>
        <v>2.1470588235294117</v>
      </c>
      <c r="H7" s="1"/>
      <c r="I7" s="1"/>
      <c r="J7" s="2">
        <f>J6+2</f>
        <v>5</v>
      </c>
      <c r="K7" s="3" t="s">
        <v>16</v>
      </c>
      <c r="L7" s="3" t="s">
        <v>27</v>
      </c>
      <c r="M7" s="3">
        <v>98</v>
      </c>
      <c r="N7" s="3">
        <v>34</v>
      </c>
      <c r="O7" s="3" t="s">
        <v>18</v>
      </c>
      <c r="P7" s="5">
        <f t="shared" si="1"/>
        <v>2.8823529411764706</v>
      </c>
      <c r="Q7" s="12"/>
    </row>
    <row r="8" spans="1:17" ht="18.75" customHeight="1" x14ac:dyDescent="0.3">
      <c r="A8" s="2">
        <f>A7</f>
        <v>3</v>
      </c>
      <c r="B8" s="3" t="s">
        <v>39</v>
      </c>
      <c r="C8" s="3" t="s">
        <v>17</v>
      </c>
      <c r="D8" s="3">
        <v>73</v>
      </c>
      <c r="E8" s="3">
        <v>34</v>
      </c>
      <c r="F8" s="3" t="s">
        <v>15</v>
      </c>
      <c r="G8" s="5">
        <f t="shared" si="0"/>
        <v>2.1470588235294117</v>
      </c>
      <c r="H8" s="1"/>
      <c r="I8" s="1"/>
      <c r="J8" s="2">
        <f>J7+1</f>
        <v>6</v>
      </c>
      <c r="K8" s="3" t="s">
        <v>16</v>
      </c>
      <c r="L8" s="3" t="s">
        <v>26</v>
      </c>
      <c r="M8" s="3">
        <v>97</v>
      </c>
      <c r="N8" s="3">
        <v>34</v>
      </c>
      <c r="O8" s="3" t="s">
        <v>18</v>
      </c>
      <c r="P8" s="5">
        <f t="shared" si="1"/>
        <v>2.8529411764705883</v>
      </c>
      <c r="Q8" s="12"/>
    </row>
    <row r="9" spans="1:17" ht="18.75" customHeight="1" x14ac:dyDescent="0.3">
      <c r="A9" s="2">
        <f>A8+4</f>
        <v>7</v>
      </c>
      <c r="B9" s="3" t="s">
        <v>16</v>
      </c>
      <c r="C9" s="3" t="s">
        <v>35</v>
      </c>
      <c r="D9" s="3">
        <v>72</v>
      </c>
      <c r="E9" s="3">
        <v>34</v>
      </c>
      <c r="F9" s="3" t="s">
        <v>44</v>
      </c>
      <c r="G9" s="5">
        <f t="shared" si="0"/>
        <v>2.1176470588235294</v>
      </c>
      <c r="H9" s="1"/>
      <c r="I9" s="1"/>
      <c r="J9" s="2">
        <f>J8+1</f>
        <v>7</v>
      </c>
      <c r="K9" s="3" t="s">
        <v>16</v>
      </c>
      <c r="L9" s="3" t="s">
        <v>40</v>
      </c>
      <c r="M9" s="3">
        <v>94</v>
      </c>
      <c r="N9" s="3">
        <v>34</v>
      </c>
      <c r="O9" s="3" t="s">
        <v>18</v>
      </c>
      <c r="P9" s="5">
        <f t="shared" si="1"/>
        <v>2.7647058823529411</v>
      </c>
      <c r="Q9" s="12"/>
    </row>
    <row r="10" spans="1:17" ht="18.75" customHeight="1" x14ac:dyDescent="0.3">
      <c r="A10" s="2">
        <f>A9+1</f>
        <v>8</v>
      </c>
      <c r="B10" s="3" t="s">
        <v>39</v>
      </c>
      <c r="C10" s="3" t="s">
        <v>40</v>
      </c>
      <c r="D10" s="3">
        <v>71</v>
      </c>
      <c r="E10" s="3">
        <v>34</v>
      </c>
      <c r="F10" s="3" t="s">
        <v>15</v>
      </c>
      <c r="G10" s="5">
        <f t="shared" si="0"/>
        <v>2.0882352941176472</v>
      </c>
      <c r="H10" s="1"/>
      <c r="I10" s="1"/>
      <c r="J10" s="2">
        <f>J9</f>
        <v>7</v>
      </c>
      <c r="K10" s="3" t="s">
        <v>16</v>
      </c>
      <c r="L10" s="3" t="s">
        <v>35</v>
      </c>
      <c r="M10" s="3">
        <v>94</v>
      </c>
      <c r="N10" s="3">
        <v>34</v>
      </c>
      <c r="O10" s="3" t="s">
        <v>44</v>
      </c>
      <c r="P10" s="5">
        <f t="shared" si="1"/>
        <v>2.7647058823529411</v>
      </c>
      <c r="Q10" s="12"/>
    </row>
    <row r="11" spans="1:17" ht="18.75" customHeight="1" x14ac:dyDescent="0.3">
      <c r="A11" s="2">
        <f>A10</f>
        <v>8</v>
      </c>
      <c r="B11" s="3" t="s">
        <v>39</v>
      </c>
      <c r="C11" s="3" t="s">
        <v>54</v>
      </c>
      <c r="D11" s="3">
        <v>71</v>
      </c>
      <c r="E11" s="3">
        <v>34</v>
      </c>
      <c r="F11" s="3" t="s">
        <v>15</v>
      </c>
      <c r="G11" s="5">
        <f t="shared" si="0"/>
        <v>2.0882352941176472</v>
      </c>
      <c r="H11" s="1"/>
      <c r="I11" s="1"/>
      <c r="J11" s="2">
        <f>J10+2</f>
        <v>9</v>
      </c>
      <c r="K11" s="3" t="s">
        <v>16</v>
      </c>
      <c r="L11" s="3" t="s">
        <v>54</v>
      </c>
      <c r="M11" s="3">
        <v>92</v>
      </c>
      <c r="N11" s="3">
        <v>34</v>
      </c>
      <c r="O11" s="3" t="s">
        <v>18</v>
      </c>
      <c r="P11" s="5">
        <f t="shared" si="1"/>
        <v>2.7058823529411766</v>
      </c>
      <c r="Q11" s="12"/>
    </row>
    <row r="12" spans="1:17" ht="18.75" customHeight="1" x14ac:dyDescent="0.3">
      <c r="A12" s="2">
        <f>A11+2</f>
        <v>10</v>
      </c>
      <c r="B12" s="3" t="s">
        <v>301</v>
      </c>
      <c r="C12" s="3" t="s">
        <v>37</v>
      </c>
      <c r="D12" s="3">
        <v>70</v>
      </c>
      <c r="E12" s="3">
        <v>34</v>
      </c>
      <c r="F12" s="3" t="s">
        <v>15</v>
      </c>
      <c r="G12" s="5">
        <f t="shared" si="0"/>
        <v>2.0588235294117645</v>
      </c>
      <c r="H12" s="1"/>
      <c r="I12" s="1"/>
      <c r="J12" s="2">
        <f>J11</f>
        <v>9</v>
      </c>
      <c r="K12" s="3" t="s">
        <v>16</v>
      </c>
      <c r="L12" s="3" t="s">
        <v>29</v>
      </c>
      <c r="M12" s="3">
        <v>92</v>
      </c>
      <c r="N12" s="3">
        <v>34</v>
      </c>
      <c r="O12" s="3" t="s">
        <v>18</v>
      </c>
      <c r="P12" s="5">
        <f t="shared" si="1"/>
        <v>2.7058823529411766</v>
      </c>
      <c r="Q12" s="12"/>
    </row>
    <row r="13" spans="1:17" ht="18.75" customHeight="1" x14ac:dyDescent="0.3">
      <c r="H13" s="1"/>
      <c r="I13" s="1"/>
      <c r="Q13" s="12"/>
    </row>
    <row r="14" spans="1:17" ht="18.75" customHeight="1" x14ac:dyDescent="0.3">
      <c r="H14" s="1"/>
      <c r="I14" s="1"/>
      <c r="J14" s="1"/>
      <c r="K14" s="1"/>
      <c r="L14" s="1"/>
      <c r="M14" s="1"/>
      <c r="N14" s="12"/>
      <c r="O14" s="12"/>
      <c r="P14" s="12"/>
      <c r="Q14" s="12"/>
    </row>
    <row r="15" spans="1:17" ht="18.75" customHeight="1" x14ac:dyDescent="0.3">
      <c r="H15" s="1"/>
      <c r="I15" s="1"/>
      <c r="J15" s="1"/>
      <c r="K15" s="1"/>
      <c r="L15" s="1"/>
      <c r="M15" s="1"/>
      <c r="N15" s="12"/>
      <c r="O15" s="12"/>
      <c r="P15" s="12"/>
      <c r="Q15" s="12"/>
    </row>
    <row r="16" spans="1:17" ht="18.75" customHeight="1" x14ac:dyDescent="0.3">
      <c r="A16" s="21" t="s">
        <v>302</v>
      </c>
      <c r="B16" s="20"/>
      <c r="C16" s="20"/>
      <c r="D16" s="20"/>
      <c r="E16" s="20"/>
      <c r="F16" s="20"/>
      <c r="G16" s="20"/>
      <c r="H16" s="1"/>
      <c r="I16" s="1"/>
      <c r="J16" s="21" t="s">
        <v>371</v>
      </c>
      <c r="K16" s="20"/>
      <c r="L16" s="20"/>
      <c r="M16" s="20"/>
      <c r="N16" s="20"/>
      <c r="O16" s="20"/>
      <c r="P16" s="20"/>
      <c r="Q16" s="12"/>
    </row>
    <row r="17" spans="1:17" ht="18.75" customHeight="1" x14ac:dyDescent="0.3">
      <c r="A17" s="2" t="s">
        <v>4</v>
      </c>
      <c r="B17" s="2" t="s">
        <v>5</v>
      </c>
      <c r="C17" s="2" t="s">
        <v>6</v>
      </c>
      <c r="D17" s="2" t="s">
        <v>7</v>
      </c>
      <c r="E17" s="2" t="s">
        <v>8</v>
      </c>
      <c r="F17" s="2" t="s">
        <v>9</v>
      </c>
      <c r="G17" s="2" t="s">
        <v>10</v>
      </c>
      <c r="H17" s="1"/>
      <c r="I17" s="1"/>
      <c r="J17" s="2" t="s">
        <v>4</v>
      </c>
      <c r="K17" s="2" t="s">
        <v>5</v>
      </c>
      <c r="L17" s="2" t="s">
        <v>6</v>
      </c>
      <c r="M17" s="2" t="s">
        <v>201</v>
      </c>
      <c r="N17" s="2" t="s">
        <v>8</v>
      </c>
      <c r="O17" s="2" t="s">
        <v>9</v>
      </c>
      <c r="P17" s="2" t="s">
        <v>202</v>
      </c>
      <c r="Q17" s="12"/>
    </row>
    <row r="18" spans="1:17" ht="18.75" customHeight="1" x14ac:dyDescent="0.3">
      <c r="A18" s="2">
        <v>1</v>
      </c>
      <c r="B18" s="3" t="s">
        <v>16</v>
      </c>
      <c r="C18" s="3" t="s">
        <v>27</v>
      </c>
      <c r="D18" s="3">
        <v>91</v>
      </c>
      <c r="E18" s="3">
        <v>34</v>
      </c>
      <c r="F18" s="3" t="s">
        <v>18</v>
      </c>
      <c r="G18" s="5">
        <f t="shared" ref="G18:G27" si="2">D18/E18</f>
        <v>2.6764705882352939</v>
      </c>
      <c r="H18" s="1"/>
      <c r="I18" s="1"/>
      <c r="J18" s="2">
        <v>1</v>
      </c>
      <c r="K18" s="3" t="s">
        <v>16</v>
      </c>
      <c r="L18" s="3" t="s">
        <v>30</v>
      </c>
      <c r="M18" s="3">
        <v>17</v>
      </c>
      <c r="N18" s="3">
        <v>34</v>
      </c>
      <c r="O18" s="3" t="s">
        <v>18</v>
      </c>
      <c r="P18" s="5">
        <f t="shared" ref="P18:P28" si="3">M18/N18</f>
        <v>0.5</v>
      </c>
      <c r="Q18" s="12"/>
    </row>
    <row r="19" spans="1:17" ht="18.75" customHeight="1" x14ac:dyDescent="0.3">
      <c r="A19" s="2">
        <f>A18+1</f>
        <v>2</v>
      </c>
      <c r="B19" s="3" t="s">
        <v>51</v>
      </c>
      <c r="C19" s="3" t="s">
        <v>35</v>
      </c>
      <c r="D19" s="3">
        <v>90</v>
      </c>
      <c r="E19" s="3">
        <v>34</v>
      </c>
      <c r="F19" s="3" t="s">
        <v>18</v>
      </c>
      <c r="G19" s="5">
        <f t="shared" si="2"/>
        <v>2.6470588235294117</v>
      </c>
      <c r="H19" s="1"/>
      <c r="I19" s="1"/>
      <c r="J19" s="2">
        <f>J18+1</f>
        <v>2</v>
      </c>
      <c r="K19" s="3" t="s">
        <v>16</v>
      </c>
      <c r="L19" s="3" t="s">
        <v>23</v>
      </c>
      <c r="M19" s="3">
        <v>18</v>
      </c>
      <c r="N19" s="3">
        <v>34</v>
      </c>
      <c r="O19" s="3" t="s">
        <v>18</v>
      </c>
      <c r="P19" s="5">
        <f t="shared" si="3"/>
        <v>0.52941176470588236</v>
      </c>
      <c r="Q19" s="12"/>
    </row>
    <row r="20" spans="1:17" ht="18.75" customHeight="1" x14ac:dyDescent="0.3">
      <c r="A20" s="2">
        <f>A19</f>
        <v>2</v>
      </c>
      <c r="B20" s="3" t="s">
        <v>16</v>
      </c>
      <c r="C20" s="3" t="s">
        <v>40</v>
      </c>
      <c r="D20" s="3">
        <v>90</v>
      </c>
      <c r="E20" s="3">
        <v>34</v>
      </c>
      <c r="F20" s="3" t="s">
        <v>18</v>
      </c>
      <c r="G20" s="5">
        <f t="shared" si="2"/>
        <v>2.6470588235294117</v>
      </c>
      <c r="H20" s="1"/>
      <c r="I20" s="1"/>
      <c r="J20" s="2">
        <f>J19</f>
        <v>2</v>
      </c>
      <c r="K20" s="3" t="s">
        <v>16</v>
      </c>
      <c r="L20" s="3" t="s">
        <v>27</v>
      </c>
      <c r="M20" s="3">
        <v>18</v>
      </c>
      <c r="N20" s="3">
        <v>34</v>
      </c>
      <c r="O20" s="3" t="s">
        <v>18</v>
      </c>
      <c r="P20" s="5">
        <f t="shared" si="3"/>
        <v>0.52941176470588236</v>
      </c>
      <c r="Q20" s="12"/>
    </row>
    <row r="21" spans="1:17" ht="18.75" customHeight="1" x14ac:dyDescent="0.3">
      <c r="A21" s="2">
        <f>A20+2</f>
        <v>4</v>
      </c>
      <c r="B21" s="3" t="s">
        <v>16</v>
      </c>
      <c r="C21" s="3" t="s">
        <v>17</v>
      </c>
      <c r="D21" s="3">
        <v>89</v>
      </c>
      <c r="E21" s="3">
        <v>34</v>
      </c>
      <c r="F21" s="3" t="s">
        <v>18</v>
      </c>
      <c r="G21" s="5">
        <f t="shared" si="2"/>
        <v>2.6176470588235294</v>
      </c>
      <c r="H21" s="1"/>
      <c r="I21" s="1"/>
      <c r="J21" s="2">
        <f>J20+2</f>
        <v>4</v>
      </c>
      <c r="K21" s="3" t="s">
        <v>16</v>
      </c>
      <c r="L21" s="3" t="s">
        <v>59</v>
      </c>
      <c r="M21" s="3">
        <v>21</v>
      </c>
      <c r="N21" s="3">
        <v>34</v>
      </c>
      <c r="O21" s="3" t="s">
        <v>18</v>
      </c>
      <c r="P21" s="5">
        <f t="shared" si="3"/>
        <v>0.61764705882352944</v>
      </c>
      <c r="Q21" s="12"/>
    </row>
    <row r="22" spans="1:17" ht="18.75" customHeight="1" x14ac:dyDescent="0.3">
      <c r="A22" s="2">
        <f>A21+1</f>
        <v>5</v>
      </c>
      <c r="B22" s="3" t="s">
        <v>16</v>
      </c>
      <c r="C22" s="3" t="s">
        <v>30</v>
      </c>
      <c r="D22" s="3">
        <v>88</v>
      </c>
      <c r="E22" s="3">
        <v>34</v>
      </c>
      <c r="F22" s="3" t="s">
        <v>18</v>
      </c>
      <c r="G22" s="5">
        <f t="shared" si="2"/>
        <v>2.5882352941176472</v>
      </c>
      <c r="H22" s="1"/>
      <c r="I22" s="1"/>
      <c r="J22" s="2">
        <f>J21+1</f>
        <v>5</v>
      </c>
      <c r="K22" s="3" t="s">
        <v>16</v>
      </c>
      <c r="L22" s="3" t="s">
        <v>25</v>
      </c>
      <c r="M22" s="3">
        <v>22</v>
      </c>
      <c r="N22" s="3">
        <v>34</v>
      </c>
      <c r="O22" s="3" t="s">
        <v>18</v>
      </c>
      <c r="P22" s="5">
        <f t="shared" si="3"/>
        <v>0.6470588235294118</v>
      </c>
      <c r="Q22" s="12"/>
    </row>
    <row r="23" spans="1:17" ht="18.75" customHeight="1" x14ac:dyDescent="0.3">
      <c r="A23" s="2">
        <f>A22+1</f>
        <v>6</v>
      </c>
      <c r="B23" s="3" t="s">
        <v>16</v>
      </c>
      <c r="C23" s="3" t="s">
        <v>29</v>
      </c>
      <c r="D23" s="3">
        <v>84</v>
      </c>
      <c r="E23" s="3">
        <v>34</v>
      </c>
      <c r="F23" s="3" t="s">
        <v>18</v>
      </c>
      <c r="G23" s="5">
        <f t="shared" si="2"/>
        <v>2.4705882352941178</v>
      </c>
      <c r="H23" s="1"/>
      <c r="I23" s="1"/>
      <c r="J23" s="2">
        <f>J22</f>
        <v>5</v>
      </c>
      <c r="K23" s="3" t="s">
        <v>39</v>
      </c>
      <c r="L23" s="3" t="s">
        <v>22</v>
      </c>
      <c r="M23" s="3">
        <v>22</v>
      </c>
      <c r="N23" s="3">
        <v>34</v>
      </c>
      <c r="O23" s="3" t="s">
        <v>18</v>
      </c>
      <c r="P23" s="5">
        <f t="shared" si="3"/>
        <v>0.6470588235294118</v>
      </c>
      <c r="Q23" s="12"/>
    </row>
    <row r="24" spans="1:17" ht="18.75" customHeight="1" x14ac:dyDescent="0.3">
      <c r="A24" s="2">
        <f>A23+1</f>
        <v>7</v>
      </c>
      <c r="B24" s="3" t="s">
        <v>16</v>
      </c>
      <c r="C24" s="3" t="s">
        <v>31</v>
      </c>
      <c r="D24" s="3">
        <v>82</v>
      </c>
      <c r="E24" s="3">
        <v>34</v>
      </c>
      <c r="F24" s="3" t="s">
        <v>18</v>
      </c>
      <c r="G24" s="5">
        <f t="shared" si="2"/>
        <v>2.4117647058823528</v>
      </c>
      <c r="H24" s="1"/>
      <c r="I24" s="1"/>
      <c r="J24" s="2">
        <f>J23</f>
        <v>5</v>
      </c>
      <c r="K24" s="3" t="s">
        <v>16</v>
      </c>
      <c r="L24" s="3" t="s">
        <v>21</v>
      </c>
      <c r="M24" s="3">
        <v>22</v>
      </c>
      <c r="N24" s="3">
        <v>34</v>
      </c>
      <c r="O24" s="3" t="s">
        <v>15</v>
      </c>
      <c r="P24" s="5">
        <f t="shared" si="3"/>
        <v>0.6470588235294118</v>
      </c>
      <c r="Q24" s="12"/>
    </row>
    <row r="25" spans="1:17" ht="18.75" customHeight="1" x14ac:dyDescent="0.3">
      <c r="A25" s="2">
        <f>A24</f>
        <v>7</v>
      </c>
      <c r="B25" s="3" t="s">
        <v>16</v>
      </c>
      <c r="C25" s="3" t="s">
        <v>25</v>
      </c>
      <c r="D25" s="3">
        <v>82</v>
      </c>
      <c r="E25" s="3">
        <v>34</v>
      </c>
      <c r="F25" s="3" t="s">
        <v>18</v>
      </c>
      <c r="G25" s="5">
        <f t="shared" si="2"/>
        <v>2.4117647058823528</v>
      </c>
      <c r="H25" s="1"/>
      <c r="I25" s="1"/>
      <c r="J25" s="2">
        <f>J24+3</f>
        <v>8</v>
      </c>
      <c r="K25" s="3" t="s">
        <v>16</v>
      </c>
      <c r="L25" s="3" t="s">
        <v>40</v>
      </c>
      <c r="M25" s="3">
        <v>23</v>
      </c>
      <c r="N25" s="3">
        <v>34</v>
      </c>
      <c r="O25" s="3" t="s">
        <v>18</v>
      </c>
      <c r="P25" s="5">
        <f t="shared" si="3"/>
        <v>0.67647058823529416</v>
      </c>
      <c r="Q25" s="12"/>
    </row>
    <row r="26" spans="1:17" ht="18.75" customHeight="1" x14ac:dyDescent="0.3">
      <c r="A26" s="2">
        <f>A25</f>
        <v>7</v>
      </c>
      <c r="B26" s="3" t="s">
        <v>16</v>
      </c>
      <c r="C26" s="3" t="s">
        <v>135</v>
      </c>
      <c r="D26" s="3">
        <v>82</v>
      </c>
      <c r="E26" s="3">
        <v>34</v>
      </c>
      <c r="F26" s="3" t="s">
        <v>18</v>
      </c>
      <c r="G26" s="5">
        <f t="shared" si="2"/>
        <v>2.4117647058823528</v>
      </c>
      <c r="H26" s="1"/>
      <c r="I26" s="1"/>
      <c r="J26" s="2">
        <f>J25+1</f>
        <v>9</v>
      </c>
      <c r="K26" s="3" t="s">
        <v>51</v>
      </c>
      <c r="L26" s="3" t="s">
        <v>35</v>
      </c>
      <c r="M26" s="3">
        <v>24</v>
      </c>
      <c r="N26" s="3">
        <v>34</v>
      </c>
      <c r="O26" s="3" t="s">
        <v>18</v>
      </c>
      <c r="P26" s="5">
        <f t="shared" si="3"/>
        <v>0.70588235294117652</v>
      </c>
      <c r="Q26" s="12"/>
    </row>
    <row r="27" spans="1:17" ht="18.75" customHeight="1" x14ac:dyDescent="0.3">
      <c r="A27" s="2">
        <f>A26+3</f>
        <v>10</v>
      </c>
      <c r="B27" s="3" t="s">
        <v>39</v>
      </c>
      <c r="C27" s="3" t="s">
        <v>21</v>
      </c>
      <c r="D27" s="3">
        <v>81</v>
      </c>
      <c r="E27" s="3">
        <v>34</v>
      </c>
      <c r="F27" s="3" t="s">
        <v>18</v>
      </c>
      <c r="G27" s="5">
        <f t="shared" si="2"/>
        <v>2.3823529411764706</v>
      </c>
      <c r="H27" s="1"/>
      <c r="I27" s="1"/>
      <c r="J27" s="2">
        <f>J26</f>
        <v>9</v>
      </c>
      <c r="K27" s="3" t="s">
        <v>303</v>
      </c>
      <c r="L27" s="3" t="s">
        <v>21</v>
      </c>
      <c r="M27" s="3">
        <v>24</v>
      </c>
      <c r="N27" s="3">
        <v>34</v>
      </c>
      <c r="O27" s="3" t="s">
        <v>98</v>
      </c>
      <c r="P27" s="5">
        <f t="shared" si="3"/>
        <v>0.70588235294117652</v>
      </c>
      <c r="Q27" s="12"/>
    </row>
    <row r="28" spans="1:17" ht="18.75" customHeight="1" x14ac:dyDescent="0.3">
      <c r="H28" s="1"/>
      <c r="I28" s="1"/>
      <c r="J28" s="2">
        <f>J27</f>
        <v>9</v>
      </c>
      <c r="K28" s="3" t="s">
        <v>300</v>
      </c>
      <c r="L28" s="3" t="s">
        <v>57</v>
      </c>
      <c r="M28" s="3">
        <v>24</v>
      </c>
      <c r="N28" s="3">
        <v>34</v>
      </c>
      <c r="O28" s="3" t="s">
        <v>98</v>
      </c>
      <c r="P28" s="5">
        <f t="shared" si="3"/>
        <v>0.70588235294117652</v>
      </c>
      <c r="Q28" s="12"/>
    </row>
    <row r="29" spans="1:17" ht="18.75" customHeight="1" x14ac:dyDescent="0.3">
      <c r="H29" s="1"/>
      <c r="I29" s="1"/>
      <c r="J29" s="1"/>
      <c r="K29" s="1"/>
      <c r="L29" s="1"/>
      <c r="M29" s="1"/>
      <c r="N29" s="6"/>
      <c r="O29" s="6"/>
      <c r="P29" s="6"/>
    </row>
    <row r="30" spans="1:17" ht="18.75" customHeight="1" x14ac:dyDescent="0.3">
      <c r="H30" s="1"/>
      <c r="I30" s="1"/>
      <c r="J30" s="1"/>
      <c r="K30" s="1"/>
      <c r="L30" s="1"/>
      <c r="M30" s="1"/>
      <c r="N30" s="6"/>
      <c r="O30" s="6"/>
      <c r="P30" s="6"/>
    </row>
    <row r="31" spans="1:17" ht="18.75" customHeight="1" x14ac:dyDescent="0.3">
      <c r="H31" s="1"/>
      <c r="I31" s="1"/>
    </row>
    <row r="44" spans="1:13" ht="18.75" customHeight="1" x14ac:dyDescent="0.3">
      <c r="A44" s="1"/>
      <c r="B44" s="1"/>
    </row>
    <row r="45" spans="1:13" ht="18.75" customHeight="1" x14ac:dyDescent="0.3">
      <c r="A45" s="1"/>
      <c r="B45" s="1"/>
      <c r="J45" s="1"/>
      <c r="K45" s="1"/>
      <c r="L45" s="1"/>
      <c r="M45" s="1"/>
    </row>
    <row r="46" spans="1:13" ht="18.75" customHeight="1" x14ac:dyDescent="0.3">
      <c r="A46" s="1"/>
      <c r="B46" s="1"/>
      <c r="J46" s="1"/>
      <c r="K46" s="1"/>
      <c r="L46" s="1"/>
      <c r="M46" s="1"/>
    </row>
    <row r="47" spans="1:13" ht="18.75" customHeight="1" x14ac:dyDescent="0.3">
      <c r="A47" s="1"/>
      <c r="B47" s="1"/>
      <c r="J47" s="1"/>
      <c r="K47" s="1"/>
      <c r="L47" s="1"/>
      <c r="M47" s="1"/>
    </row>
    <row r="48" spans="1:13" ht="18.75" customHeight="1" x14ac:dyDescent="0.3">
      <c r="A48" s="1"/>
      <c r="B48" s="1"/>
      <c r="J48" s="1"/>
      <c r="K48" s="1"/>
      <c r="L48" s="1"/>
      <c r="M48" s="1"/>
    </row>
    <row r="49" spans="1:13" ht="18.75" customHeight="1" x14ac:dyDescent="0.3">
      <c r="A49" s="1"/>
      <c r="B49" s="1"/>
      <c r="J49" s="1"/>
      <c r="K49" s="1"/>
      <c r="L49" s="1"/>
      <c r="M49" s="1"/>
    </row>
  </sheetData>
  <mergeCells count="4">
    <mergeCell ref="J1:P1"/>
    <mergeCell ref="J16:P16"/>
    <mergeCell ref="A16:G16"/>
    <mergeCell ref="A1:G1"/>
  </mergeCells>
  <conditionalFormatting sqref="G3:G12"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8:G27">
    <cfRule type="colorScale" priority="6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12"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8:P28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38"/>
  <sheetViews>
    <sheetView topLeftCell="E10" workbookViewId="0">
      <selection activeCell="L13" sqref="L13"/>
    </sheetView>
  </sheetViews>
  <sheetFormatPr baseColWidth="10" defaultRowHeight="15" x14ac:dyDescent="0.25"/>
  <cols>
    <col min="2" max="2" width="32.140625" bestFit="1" customWidth="1"/>
    <col min="3" max="3" width="14.5703125" customWidth="1"/>
    <col min="4" max="4" width="14.42578125" customWidth="1"/>
    <col min="5" max="5" width="30.7109375" bestFit="1" customWidth="1"/>
    <col min="6" max="6" width="23.42578125" bestFit="1" customWidth="1"/>
    <col min="7" max="7" width="18.28515625" customWidth="1"/>
    <col min="8" max="8" width="28.42578125" bestFit="1" customWidth="1"/>
    <col min="11" max="11" width="12.42578125" customWidth="1"/>
    <col min="12" max="12" width="32.140625" bestFit="1" customWidth="1"/>
    <col min="13" max="13" width="16.85546875" customWidth="1"/>
    <col min="14" max="14" width="19" bestFit="1" customWidth="1"/>
    <col min="15" max="15" width="23.42578125" bestFit="1" customWidth="1"/>
    <col min="16" max="16" width="16.140625" customWidth="1"/>
    <col min="17" max="17" width="32.140625" bestFit="1" customWidth="1"/>
  </cols>
  <sheetData>
    <row r="1" spans="1:17" ht="18.75" customHeight="1" x14ac:dyDescent="0.3">
      <c r="A1" s="21" t="s">
        <v>304</v>
      </c>
      <c r="B1" s="20"/>
      <c r="C1" s="20"/>
      <c r="D1" s="20"/>
      <c r="E1" s="20"/>
      <c r="F1" s="20"/>
      <c r="G1" s="20"/>
      <c r="H1" s="20"/>
      <c r="K1" s="21" t="s">
        <v>305</v>
      </c>
      <c r="L1" s="20"/>
      <c r="M1" s="20"/>
      <c r="N1" s="20"/>
      <c r="O1" s="20"/>
      <c r="P1" s="20"/>
      <c r="Q1" s="20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10</v>
      </c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</row>
    <row r="3" spans="1:17" ht="18.75" customHeight="1" x14ac:dyDescent="0.3">
      <c r="A3" s="2">
        <f>1</f>
        <v>1</v>
      </c>
      <c r="B3" s="3" t="s">
        <v>39</v>
      </c>
      <c r="C3" s="3" t="s">
        <v>30</v>
      </c>
      <c r="D3" s="3">
        <v>78</v>
      </c>
      <c r="E3" s="3">
        <v>102</v>
      </c>
      <c r="F3" s="3">
        <v>34</v>
      </c>
      <c r="G3" s="3" t="s">
        <v>15</v>
      </c>
      <c r="H3" s="5">
        <f>D3/F3</f>
        <v>2.2941176470588234</v>
      </c>
      <c r="K3" s="2">
        <f>1</f>
        <v>1</v>
      </c>
      <c r="L3" s="3" t="s">
        <v>16</v>
      </c>
      <c r="M3" s="3" t="s">
        <v>17</v>
      </c>
      <c r="N3" s="3">
        <v>122</v>
      </c>
      <c r="O3" s="3">
        <v>34</v>
      </c>
      <c r="P3" s="3" t="s">
        <v>18</v>
      </c>
      <c r="Q3" s="5">
        <f t="shared" ref="Q3:Q17" si="0">N3/O3</f>
        <v>3.5882352941176472</v>
      </c>
    </row>
    <row r="4" spans="1:17" ht="18.75" customHeight="1" x14ac:dyDescent="0.3">
      <c r="A4" s="2">
        <v>1</v>
      </c>
      <c r="B4" s="3" t="s">
        <v>301</v>
      </c>
      <c r="C4" s="3" t="s">
        <v>306</v>
      </c>
      <c r="D4" s="3">
        <v>52</v>
      </c>
      <c r="E4" s="3" t="s">
        <v>70</v>
      </c>
      <c r="F4" s="3">
        <v>34</v>
      </c>
      <c r="G4" s="3" t="s">
        <v>15</v>
      </c>
      <c r="H4" s="5">
        <f>(D4/68)*3</f>
        <v>2.2941176470588234</v>
      </c>
      <c r="K4" s="2">
        <f>K3+1</f>
        <v>2</v>
      </c>
      <c r="L4" s="3" t="s">
        <v>16</v>
      </c>
      <c r="M4" s="3" t="s">
        <v>71</v>
      </c>
      <c r="N4" s="3">
        <v>101</v>
      </c>
      <c r="O4" s="3">
        <v>34</v>
      </c>
      <c r="P4" s="3" t="s">
        <v>18</v>
      </c>
      <c r="Q4" s="5">
        <f t="shared" si="0"/>
        <v>2.9705882352941178</v>
      </c>
    </row>
    <row r="5" spans="1:17" ht="18.75" customHeight="1" x14ac:dyDescent="0.3">
      <c r="A5" s="2">
        <v>1</v>
      </c>
      <c r="B5" s="3" t="s">
        <v>307</v>
      </c>
      <c r="C5" s="3" t="s">
        <v>71</v>
      </c>
      <c r="D5" s="3">
        <v>52</v>
      </c>
      <c r="E5" s="3" t="s">
        <v>70</v>
      </c>
      <c r="F5" s="3">
        <v>34</v>
      </c>
      <c r="G5" s="3" t="s">
        <v>15</v>
      </c>
      <c r="H5" s="5">
        <f>(D5/68)*3</f>
        <v>2.2941176470588234</v>
      </c>
      <c r="K5" s="2">
        <f>K4+1</f>
        <v>3</v>
      </c>
      <c r="L5" s="3" t="s">
        <v>16</v>
      </c>
      <c r="M5" s="3" t="s">
        <v>31</v>
      </c>
      <c r="N5" s="3">
        <v>100</v>
      </c>
      <c r="O5" s="3">
        <v>34</v>
      </c>
      <c r="P5" s="3" t="s">
        <v>18</v>
      </c>
      <c r="Q5" s="5">
        <f t="shared" si="0"/>
        <v>2.9411764705882355</v>
      </c>
    </row>
    <row r="6" spans="1:17" ht="18.75" customHeight="1" x14ac:dyDescent="0.3">
      <c r="A6" s="2">
        <f>A4+3</f>
        <v>4</v>
      </c>
      <c r="B6" s="3" t="s">
        <v>39</v>
      </c>
      <c r="C6" s="3" t="s">
        <v>14</v>
      </c>
      <c r="D6" s="3">
        <v>76</v>
      </c>
      <c r="E6" s="3">
        <v>102</v>
      </c>
      <c r="F6" s="3">
        <v>34</v>
      </c>
      <c r="G6" s="3" t="s">
        <v>15</v>
      </c>
      <c r="H6" s="5">
        <f>D6/F6</f>
        <v>2.2352941176470589</v>
      </c>
      <c r="K6" s="2">
        <f>K5+1</f>
        <v>4</v>
      </c>
      <c r="L6" s="3" t="s">
        <v>16</v>
      </c>
      <c r="M6" s="3" t="s">
        <v>32</v>
      </c>
      <c r="N6" s="3">
        <v>99</v>
      </c>
      <c r="O6" s="3">
        <v>34</v>
      </c>
      <c r="P6" s="3" t="s">
        <v>18</v>
      </c>
      <c r="Q6" s="5">
        <f t="shared" si="0"/>
        <v>2.9117647058823528</v>
      </c>
    </row>
    <row r="7" spans="1:17" ht="18.75" customHeight="1" x14ac:dyDescent="0.3">
      <c r="A7" s="2">
        <f>A6+1</f>
        <v>5</v>
      </c>
      <c r="B7" s="3" t="s">
        <v>301</v>
      </c>
      <c r="C7" s="3" t="s">
        <v>144</v>
      </c>
      <c r="D7" s="3">
        <v>49</v>
      </c>
      <c r="E7" s="3" t="s">
        <v>70</v>
      </c>
      <c r="F7" s="3">
        <v>34</v>
      </c>
      <c r="G7" s="3" t="s">
        <v>15</v>
      </c>
      <c r="H7" s="5">
        <f>(D7/68)*3</f>
        <v>2.1617647058823528</v>
      </c>
      <c r="K7" s="2">
        <f>K6</f>
        <v>4</v>
      </c>
      <c r="L7" s="3" t="s">
        <v>16</v>
      </c>
      <c r="M7" s="3" t="s">
        <v>135</v>
      </c>
      <c r="N7" s="3">
        <v>99</v>
      </c>
      <c r="O7" s="3">
        <v>34</v>
      </c>
      <c r="P7" s="3" t="s">
        <v>18</v>
      </c>
      <c r="Q7" s="5">
        <f t="shared" si="0"/>
        <v>2.9117647058823528</v>
      </c>
    </row>
    <row r="8" spans="1:17" ht="18.75" customHeight="1" x14ac:dyDescent="0.3">
      <c r="A8" s="2">
        <f>A7</f>
        <v>5</v>
      </c>
      <c r="B8" s="3" t="s">
        <v>308</v>
      </c>
      <c r="C8" s="3" t="s">
        <v>86</v>
      </c>
      <c r="D8" s="3">
        <v>49</v>
      </c>
      <c r="E8" s="3" t="s">
        <v>70</v>
      </c>
      <c r="F8" s="3">
        <v>34</v>
      </c>
      <c r="G8" s="3" t="s">
        <v>15</v>
      </c>
      <c r="H8" s="5">
        <f>(D8/68)*3</f>
        <v>2.1617647058823528</v>
      </c>
      <c r="K8" s="2">
        <f>K7+2</f>
        <v>6</v>
      </c>
      <c r="L8" s="3" t="s">
        <v>16</v>
      </c>
      <c r="M8" s="3" t="s">
        <v>27</v>
      </c>
      <c r="N8" s="3">
        <v>98</v>
      </c>
      <c r="O8" s="3">
        <v>34</v>
      </c>
      <c r="P8" s="3" t="s">
        <v>18</v>
      </c>
      <c r="Q8" s="5">
        <f t="shared" si="0"/>
        <v>2.8823529411764706</v>
      </c>
    </row>
    <row r="9" spans="1:17" ht="18.75" customHeight="1" x14ac:dyDescent="0.3">
      <c r="A9" s="2">
        <f>A7+2</f>
        <v>7</v>
      </c>
      <c r="B9" s="3" t="s">
        <v>16</v>
      </c>
      <c r="C9" s="3" t="s">
        <v>21</v>
      </c>
      <c r="D9" s="3">
        <v>73</v>
      </c>
      <c r="E9" s="3">
        <v>102</v>
      </c>
      <c r="F9" s="3">
        <v>34</v>
      </c>
      <c r="G9" s="3" t="s">
        <v>15</v>
      </c>
      <c r="H9" s="5">
        <f>D9/F9</f>
        <v>2.1470588235294117</v>
      </c>
      <c r="K9" s="2">
        <f>K8+1</f>
        <v>7</v>
      </c>
      <c r="L9" s="3" t="s">
        <v>16</v>
      </c>
      <c r="M9" s="3" t="s">
        <v>26</v>
      </c>
      <c r="N9" s="3">
        <v>97</v>
      </c>
      <c r="O9" s="3">
        <v>34</v>
      </c>
      <c r="P9" s="3" t="s">
        <v>18</v>
      </c>
      <c r="Q9" s="5">
        <f t="shared" si="0"/>
        <v>2.8529411764705883</v>
      </c>
    </row>
    <row r="10" spans="1:17" ht="18.75" customHeight="1" x14ac:dyDescent="0.3">
      <c r="A10" s="2">
        <f>A9</f>
        <v>7</v>
      </c>
      <c r="B10" s="3" t="s">
        <v>51</v>
      </c>
      <c r="C10" s="3" t="s">
        <v>133</v>
      </c>
      <c r="D10" s="3">
        <v>73</v>
      </c>
      <c r="E10" s="3">
        <v>102</v>
      </c>
      <c r="F10" s="3">
        <v>34</v>
      </c>
      <c r="G10" s="3" t="s">
        <v>15</v>
      </c>
      <c r="H10" s="5">
        <f>D10/F10</f>
        <v>2.1470588235294117</v>
      </c>
      <c r="K10" s="2">
        <f>K9+1</f>
        <v>8</v>
      </c>
      <c r="L10" s="3" t="s">
        <v>308</v>
      </c>
      <c r="M10" s="3" t="s">
        <v>83</v>
      </c>
      <c r="N10" s="3">
        <v>95</v>
      </c>
      <c r="O10" s="3">
        <v>34</v>
      </c>
      <c r="P10" s="3" t="s">
        <v>18</v>
      </c>
      <c r="Q10" s="5">
        <f t="shared" si="0"/>
        <v>2.7941176470588234</v>
      </c>
    </row>
    <row r="11" spans="1:17" ht="18.75" customHeight="1" x14ac:dyDescent="0.3">
      <c r="A11" s="2">
        <f>A9</f>
        <v>7</v>
      </c>
      <c r="B11" s="3" t="s">
        <v>39</v>
      </c>
      <c r="C11" s="3" t="s">
        <v>17</v>
      </c>
      <c r="D11" s="3">
        <v>73</v>
      </c>
      <c r="E11" s="3">
        <v>102</v>
      </c>
      <c r="F11" s="3">
        <v>34</v>
      </c>
      <c r="G11" s="3" t="s">
        <v>15</v>
      </c>
      <c r="H11" s="5">
        <f>D11/F11</f>
        <v>2.1470588235294117</v>
      </c>
      <c r="K11" s="2">
        <f>K10</f>
        <v>8</v>
      </c>
      <c r="L11" s="3" t="s">
        <v>16</v>
      </c>
      <c r="M11" s="3" t="s">
        <v>309</v>
      </c>
      <c r="N11" s="3">
        <v>95</v>
      </c>
      <c r="O11" s="3">
        <v>34</v>
      </c>
      <c r="P11" s="3" t="s">
        <v>18</v>
      </c>
      <c r="Q11" s="5">
        <f t="shared" si="0"/>
        <v>2.7941176470588234</v>
      </c>
    </row>
    <row r="12" spans="1:17" ht="18.75" customHeight="1" x14ac:dyDescent="0.3">
      <c r="A12" s="2">
        <f>A10</f>
        <v>7</v>
      </c>
      <c r="B12" s="3" t="s">
        <v>300</v>
      </c>
      <c r="C12" s="3" t="s">
        <v>35</v>
      </c>
      <c r="D12" s="3">
        <v>73</v>
      </c>
      <c r="E12" s="3">
        <v>102</v>
      </c>
      <c r="F12" s="3">
        <v>34</v>
      </c>
      <c r="G12" s="3" t="s">
        <v>15</v>
      </c>
      <c r="H12" s="5">
        <f>D12/F12</f>
        <v>2.1470588235294117</v>
      </c>
      <c r="K12" s="2">
        <f>K10+2</f>
        <v>10</v>
      </c>
      <c r="L12" s="3" t="s">
        <v>16</v>
      </c>
      <c r="M12" s="3" t="s">
        <v>40</v>
      </c>
      <c r="N12" s="3">
        <v>94</v>
      </c>
      <c r="O12" s="3">
        <v>34</v>
      </c>
      <c r="P12" s="3" t="s">
        <v>18</v>
      </c>
      <c r="Q12" s="5">
        <f t="shared" si="0"/>
        <v>2.7647058823529411</v>
      </c>
    </row>
    <row r="13" spans="1:17" ht="18.75" customHeight="1" x14ac:dyDescent="0.3">
      <c r="A13" s="2">
        <f>A12+4</f>
        <v>11</v>
      </c>
      <c r="B13" s="3" t="s">
        <v>308</v>
      </c>
      <c r="C13" s="3" t="s">
        <v>121</v>
      </c>
      <c r="D13" s="3">
        <v>48</v>
      </c>
      <c r="E13" s="3" t="s">
        <v>70</v>
      </c>
      <c r="F13" s="3">
        <v>34</v>
      </c>
      <c r="G13" s="3" t="s">
        <v>15</v>
      </c>
      <c r="H13" s="5">
        <f t="shared" ref="H13:H20" si="1">(D13/68)*3</f>
        <v>2.1176470588235294</v>
      </c>
      <c r="K13" s="2">
        <f>K11+2</f>
        <v>10</v>
      </c>
      <c r="L13" s="3" t="s">
        <v>16</v>
      </c>
      <c r="M13" s="3" t="s">
        <v>35</v>
      </c>
      <c r="N13" s="3">
        <v>94</v>
      </c>
      <c r="O13" s="3">
        <v>34</v>
      </c>
      <c r="P13" s="3" t="s">
        <v>44</v>
      </c>
      <c r="Q13" s="5">
        <f t="shared" si="0"/>
        <v>2.7647058823529411</v>
      </c>
    </row>
    <row r="14" spans="1:17" ht="18.75" customHeight="1" x14ac:dyDescent="0.3">
      <c r="A14" s="2">
        <f>A15</f>
        <v>11</v>
      </c>
      <c r="B14" s="3" t="s">
        <v>303</v>
      </c>
      <c r="C14" s="3" t="s">
        <v>309</v>
      </c>
      <c r="D14" s="3">
        <v>48</v>
      </c>
      <c r="E14" s="3" t="s">
        <v>70</v>
      </c>
      <c r="F14" s="3">
        <v>34</v>
      </c>
      <c r="G14" s="3" t="s">
        <v>15</v>
      </c>
      <c r="H14" s="5">
        <f t="shared" si="1"/>
        <v>2.1176470588235294</v>
      </c>
      <c r="K14" s="2">
        <f>K13+2</f>
        <v>12</v>
      </c>
      <c r="L14" s="3" t="s">
        <v>16</v>
      </c>
      <c r="M14" s="3" t="s">
        <v>142</v>
      </c>
      <c r="N14" s="3">
        <v>93</v>
      </c>
      <c r="O14" s="3">
        <v>34</v>
      </c>
      <c r="P14" s="3" t="s">
        <v>18</v>
      </c>
      <c r="Q14" s="5">
        <f t="shared" si="0"/>
        <v>2.7352941176470589</v>
      </c>
    </row>
    <row r="15" spans="1:17" ht="18.75" customHeight="1" x14ac:dyDescent="0.3">
      <c r="A15" s="2">
        <f>A13</f>
        <v>11</v>
      </c>
      <c r="B15" s="3" t="s">
        <v>301</v>
      </c>
      <c r="C15" s="3" t="s">
        <v>157</v>
      </c>
      <c r="D15" s="3">
        <v>48</v>
      </c>
      <c r="E15" s="3" t="s">
        <v>70</v>
      </c>
      <c r="F15" s="3">
        <v>34</v>
      </c>
      <c r="G15" s="3" t="s">
        <v>15</v>
      </c>
      <c r="H15" s="5">
        <f t="shared" si="1"/>
        <v>2.1176470588235294</v>
      </c>
      <c r="K15" s="2">
        <f>K14</f>
        <v>12</v>
      </c>
      <c r="L15" s="3" t="s">
        <v>303</v>
      </c>
      <c r="M15" s="3" t="s">
        <v>309</v>
      </c>
      <c r="N15" s="3">
        <v>93</v>
      </c>
      <c r="O15" s="3">
        <v>34</v>
      </c>
      <c r="P15" s="3" t="s">
        <v>15</v>
      </c>
      <c r="Q15" s="5">
        <f t="shared" si="0"/>
        <v>2.7352941176470589</v>
      </c>
    </row>
    <row r="16" spans="1:17" ht="18.75" customHeight="1" x14ac:dyDescent="0.3">
      <c r="A16" s="2">
        <f>A15</f>
        <v>11</v>
      </c>
      <c r="B16" s="3" t="s">
        <v>16</v>
      </c>
      <c r="C16" s="3" t="s">
        <v>82</v>
      </c>
      <c r="D16" s="3">
        <v>48</v>
      </c>
      <c r="E16" s="3" t="s">
        <v>70</v>
      </c>
      <c r="F16" s="3">
        <v>34</v>
      </c>
      <c r="G16" s="3" t="s">
        <v>15</v>
      </c>
      <c r="H16" s="5">
        <f t="shared" si="1"/>
        <v>2.1176470588235294</v>
      </c>
      <c r="K16" s="2">
        <f>K15+2</f>
        <v>14</v>
      </c>
      <c r="L16" s="3" t="s">
        <v>16</v>
      </c>
      <c r="M16" s="3" t="s">
        <v>54</v>
      </c>
      <c r="N16" s="3">
        <v>92</v>
      </c>
      <c r="O16" s="3">
        <v>34</v>
      </c>
      <c r="P16" s="3" t="s">
        <v>18</v>
      </c>
      <c r="Q16" s="5">
        <f t="shared" si="0"/>
        <v>2.7058823529411766</v>
      </c>
    </row>
    <row r="17" spans="1:17" ht="18.75" customHeight="1" x14ac:dyDescent="0.3">
      <c r="A17" s="2">
        <f>A16</f>
        <v>11</v>
      </c>
      <c r="B17" s="3" t="s">
        <v>308</v>
      </c>
      <c r="C17" s="3" t="s">
        <v>153</v>
      </c>
      <c r="D17" s="3">
        <v>48</v>
      </c>
      <c r="E17" s="3" t="s">
        <v>70</v>
      </c>
      <c r="F17" s="3">
        <v>34</v>
      </c>
      <c r="G17" s="3" t="s">
        <v>15</v>
      </c>
      <c r="H17" s="5">
        <f t="shared" si="1"/>
        <v>2.1176470588235294</v>
      </c>
      <c r="K17" s="2">
        <f>K16</f>
        <v>14</v>
      </c>
      <c r="L17" s="3" t="s">
        <v>16</v>
      </c>
      <c r="M17" s="3" t="s">
        <v>29</v>
      </c>
      <c r="N17" s="3">
        <v>92</v>
      </c>
      <c r="O17" s="3">
        <v>34</v>
      </c>
      <c r="P17" s="3" t="s">
        <v>18</v>
      </c>
      <c r="Q17" s="5">
        <f t="shared" si="0"/>
        <v>2.7058823529411766</v>
      </c>
    </row>
    <row r="18" spans="1:17" ht="18.75" customHeight="1" x14ac:dyDescent="0.3">
      <c r="A18" s="2">
        <f>A17</f>
        <v>11</v>
      </c>
      <c r="B18" s="3" t="s">
        <v>300</v>
      </c>
      <c r="C18" s="3" t="s">
        <v>78</v>
      </c>
      <c r="D18" s="3">
        <v>48</v>
      </c>
      <c r="E18" s="3" t="s">
        <v>70</v>
      </c>
      <c r="F18" s="3">
        <v>34</v>
      </c>
      <c r="G18" s="3" t="s">
        <v>15</v>
      </c>
      <c r="H18" s="5">
        <f t="shared" si="1"/>
        <v>2.1176470588235294</v>
      </c>
    </row>
    <row r="19" spans="1:17" ht="18.75" customHeight="1" x14ac:dyDescent="0.3">
      <c r="A19" s="2">
        <f>A18</f>
        <v>11</v>
      </c>
      <c r="B19" s="3" t="s">
        <v>303</v>
      </c>
      <c r="C19" s="3" t="s">
        <v>143</v>
      </c>
      <c r="D19" s="3">
        <v>48</v>
      </c>
      <c r="E19" s="3" t="s">
        <v>70</v>
      </c>
      <c r="F19" s="3">
        <v>34</v>
      </c>
      <c r="G19" s="3" t="s">
        <v>15</v>
      </c>
      <c r="H19" s="5">
        <f t="shared" si="1"/>
        <v>2.1176470588235294</v>
      </c>
    </row>
    <row r="20" spans="1:17" ht="18.75" customHeight="1" x14ac:dyDescent="0.3">
      <c r="A20" s="2">
        <f>A19</f>
        <v>11</v>
      </c>
      <c r="B20" s="3" t="s">
        <v>16</v>
      </c>
      <c r="C20" s="3" t="s">
        <v>116</v>
      </c>
      <c r="D20" s="3">
        <v>48</v>
      </c>
      <c r="E20" s="3" t="s">
        <v>70</v>
      </c>
      <c r="F20" s="3">
        <v>34</v>
      </c>
      <c r="G20" s="3" t="s">
        <v>15</v>
      </c>
      <c r="H20" s="5">
        <f t="shared" si="1"/>
        <v>2.1176470588235294</v>
      </c>
      <c r="I20" s="11"/>
    </row>
    <row r="22" spans="1:17" ht="18.75" customHeight="1" x14ac:dyDescent="0.3">
      <c r="A22" s="21" t="s">
        <v>310</v>
      </c>
      <c r="B22" s="20"/>
      <c r="C22" s="20"/>
      <c r="D22" s="20"/>
      <c r="E22" s="20"/>
      <c r="F22" s="20"/>
      <c r="G22" s="20"/>
      <c r="H22" s="20"/>
      <c r="K22" s="21" t="s">
        <v>311</v>
      </c>
      <c r="L22" s="20"/>
      <c r="M22" s="20"/>
      <c r="N22" s="20"/>
      <c r="O22" s="20"/>
      <c r="P22" s="20"/>
      <c r="Q22" s="20"/>
    </row>
    <row r="23" spans="1:17" ht="18.75" customHeight="1" x14ac:dyDescent="0.3">
      <c r="A23" s="2" t="s">
        <v>4</v>
      </c>
      <c r="B23" s="2" t="s">
        <v>5</v>
      </c>
      <c r="C23" s="2" t="s">
        <v>6</v>
      </c>
      <c r="D23" s="2" t="s">
        <v>7</v>
      </c>
      <c r="E23" s="2" t="s">
        <v>62</v>
      </c>
      <c r="F23" s="2" t="s">
        <v>8</v>
      </c>
      <c r="G23" s="2" t="s">
        <v>9</v>
      </c>
      <c r="H23" s="2" t="s">
        <v>10</v>
      </c>
      <c r="K23" s="2" t="s">
        <v>4</v>
      </c>
      <c r="L23" s="2" t="s">
        <v>5</v>
      </c>
      <c r="M23" s="2" t="s">
        <v>6</v>
      </c>
      <c r="N23" s="2" t="s">
        <v>201</v>
      </c>
      <c r="O23" s="2" t="s">
        <v>8</v>
      </c>
      <c r="P23" s="2" t="s">
        <v>9</v>
      </c>
      <c r="Q23" s="2" t="s">
        <v>202</v>
      </c>
    </row>
    <row r="24" spans="1:17" ht="18.75" customHeight="1" x14ac:dyDescent="0.3">
      <c r="A24" s="2">
        <v>1</v>
      </c>
      <c r="B24" s="3" t="s">
        <v>16</v>
      </c>
      <c r="C24" s="3" t="s">
        <v>27</v>
      </c>
      <c r="D24" s="3">
        <v>91</v>
      </c>
      <c r="E24" s="3">
        <v>102</v>
      </c>
      <c r="F24" s="3">
        <v>34</v>
      </c>
      <c r="G24" s="3" t="s">
        <v>18</v>
      </c>
      <c r="H24" s="5">
        <f t="shared" ref="H24:H29" si="2">D24/F24</f>
        <v>2.6764705882352939</v>
      </c>
      <c r="K24" s="2">
        <v>1</v>
      </c>
      <c r="L24" s="3" t="s">
        <v>16</v>
      </c>
      <c r="M24" s="3" t="s">
        <v>30</v>
      </c>
      <c r="N24" s="3">
        <v>17</v>
      </c>
      <c r="O24" s="3">
        <v>34</v>
      </c>
      <c r="P24" s="3" t="s">
        <v>18</v>
      </c>
      <c r="Q24" s="5">
        <f t="shared" ref="Q24:Q38" si="3">N24/O24</f>
        <v>0.5</v>
      </c>
    </row>
    <row r="25" spans="1:17" ht="18.75" customHeight="1" x14ac:dyDescent="0.3">
      <c r="A25" s="2">
        <f>A24+1</f>
        <v>2</v>
      </c>
      <c r="B25" s="3" t="s">
        <v>51</v>
      </c>
      <c r="C25" s="3" t="s">
        <v>35</v>
      </c>
      <c r="D25" s="3">
        <v>90</v>
      </c>
      <c r="E25" s="3">
        <v>102</v>
      </c>
      <c r="F25" s="3">
        <v>34</v>
      </c>
      <c r="G25" s="3" t="s">
        <v>18</v>
      </c>
      <c r="H25" s="5">
        <f t="shared" si="2"/>
        <v>2.6470588235294117</v>
      </c>
      <c r="K25" s="2">
        <f>K24+1</f>
        <v>2</v>
      </c>
      <c r="L25" s="3" t="s">
        <v>16</v>
      </c>
      <c r="M25" s="3" t="s">
        <v>23</v>
      </c>
      <c r="N25" s="3">
        <v>18</v>
      </c>
      <c r="O25" s="3">
        <v>34</v>
      </c>
      <c r="P25" s="3" t="s">
        <v>18</v>
      </c>
      <c r="Q25" s="5">
        <f t="shared" si="3"/>
        <v>0.52941176470588236</v>
      </c>
    </row>
    <row r="26" spans="1:17" ht="18.75" customHeight="1" x14ac:dyDescent="0.3">
      <c r="A26" s="2">
        <f>A25</f>
        <v>2</v>
      </c>
      <c r="B26" s="3" t="s">
        <v>16</v>
      </c>
      <c r="C26" s="3" t="s">
        <v>40</v>
      </c>
      <c r="D26" s="3">
        <v>90</v>
      </c>
      <c r="E26" s="3">
        <v>102</v>
      </c>
      <c r="F26" s="3">
        <v>34</v>
      </c>
      <c r="G26" s="3" t="s">
        <v>18</v>
      </c>
      <c r="H26" s="5">
        <f t="shared" si="2"/>
        <v>2.6470588235294117</v>
      </c>
      <c r="K26" s="2">
        <f>K25</f>
        <v>2</v>
      </c>
      <c r="L26" s="3" t="s">
        <v>16</v>
      </c>
      <c r="M26" s="3" t="s">
        <v>27</v>
      </c>
      <c r="N26" s="3">
        <v>18</v>
      </c>
      <c r="O26" s="3">
        <v>34</v>
      </c>
      <c r="P26" s="3" t="s">
        <v>18</v>
      </c>
      <c r="Q26" s="5">
        <f t="shared" si="3"/>
        <v>0.52941176470588236</v>
      </c>
    </row>
    <row r="27" spans="1:17" ht="18.75" customHeight="1" x14ac:dyDescent="0.3">
      <c r="A27" s="2">
        <f>A26+2</f>
        <v>4</v>
      </c>
      <c r="B27" s="3" t="s">
        <v>16</v>
      </c>
      <c r="C27" s="3" t="s">
        <v>17</v>
      </c>
      <c r="D27" s="3">
        <v>89</v>
      </c>
      <c r="E27" s="3">
        <v>102</v>
      </c>
      <c r="F27" s="3">
        <v>34</v>
      </c>
      <c r="G27" s="3" t="s">
        <v>18</v>
      </c>
      <c r="H27" s="5">
        <f t="shared" si="2"/>
        <v>2.6176470588235294</v>
      </c>
      <c r="K27" s="2">
        <f>K26+2</f>
        <v>4</v>
      </c>
      <c r="L27" s="3" t="s">
        <v>16</v>
      </c>
      <c r="M27" s="3" t="s">
        <v>59</v>
      </c>
      <c r="N27" s="3">
        <v>21</v>
      </c>
      <c r="O27" s="3">
        <v>34</v>
      </c>
      <c r="P27" s="3" t="s">
        <v>18</v>
      </c>
      <c r="Q27" s="5">
        <f t="shared" si="3"/>
        <v>0.61764705882352944</v>
      </c>
    </row>
    <row r="28" spans="1:17" ht="18.75" customHeight="1" x14ac:dyDescent="0.3">
      <c r="A28" s="2">
        <f>A27+1</f>
        <v>5</v>
      </c>
      <c r="B28" s="3" t="s">
        <v>16</v>
      </c>
      <c r="C28" s="3" t="s">
        <v>30</v>
      </c>
      <c r="D28" s="3">
        <v>88</v>
      </c>
      <c r="E28" s="3">
        <v>102</v>
      </c>
      <c r="F28" s="3">
        <v>34</v>
      </c>
      <c r="G28" s="3" t="s">
        <v>18</v>
      </c>
      <c r="H28" s="5">
        <f t="shared" si="2"/>
        <v>2.5882352941176472</v>
      </c>
      <c r="K28" s="2">
        <f>K27+1</f>
        <v>5</v>
      </c>
      <c r="L28" s="3" t="s">
        <v>16</v>
      </c>
      <c r="M28" s="3" t="s">
        <v>25</v>
      </c>
      <c r="N28" s="3">
        <v>22</v>
      </c>
      <c r="O28" s="3">
        <v>34</v>
      </c>
      <c r="P28" s="3" t="s">
        <v>18</v>
      </c>
      <c r="Q28" s="5">
        <f t="shared" si="3"/>
        <v>0.6470588235294118</v>
      </c>
    </row>
    <row r="29" spans="1:17" ht="18.75" customHeight="1" x14ac:dyDescent="0.3">
      <c r="A29" s="2">
        <f>A28+1</f>
        <v>6</v>
      </c>
      <c r="B29" s="3" t="s">
        <v>16</v>
      </c>
      <c r="C29" s="3" t="s">
        <v>29</v>
      </c>
      <c r="D29" s="3">
        <v>84</v>
      </c>
      <c r="E29" s="3">
        <v>102</v>
      </c>
      <c r="F29" s="3">
        <v>34</v>
      </c>
      <c r="G29" s="3" t="s">
        <v>18</v>
      </c>
      <c r="H29" s="5">
        <f t="shared" si="2"/>
        <v>2.4705882352941178</v>
      </c>
      <c r="K29" s="2">
        <f>K28</f>
        <v>5</v>
      </c>
      <c r="L29" s="3" t="s">
        <v>39</v>
      </c>
      <c r="M29" s="3" t="s">
        <v>22</v>
      </c>
      <c r="N29" s="3">
        <v>22</v>
      </c>
      <c r="O29" s="3">
        <v>34</v>
      </c>
      <c r="P29" s="3" t="s">
        <v>18</v>
      </c>
      <c r="Q29" s="5">
        <f t="shared" si="3"/>
        <v>0.6470588235294118</v>
      </c>
    </row>
    <row r="30" spans="1:17" ht="18.75" customHeight="1" x14ac:dyDescent="0.3">
      <c r="A30" s="2">
        <f>A29+1</f>
        <v>7</v>
      </c>
      <c r="B30" s="3" t="s">
        <v>16</v>
      </c>
      <c r="C30" s="3" t="s">
        <v>71</v>
      </c>
      <c r="D30" s="3">
        <v>55</v>
      </c>
      <c r="E30" s="3" t="s">
        <v>70</v>
      </c>
      <c r="F30" s="3">
        <v>34</v>
      </c>
      <c r="G30" s="3" t="s">
        <v>18</v>
      </c>
      <c r="H30" s="5">
        <f>(D30/68)*3</f>
        <v>2.4264705882352944</v>
      </c>
      <c r="K30" s="2">
        <f>K29</f>
        <v>5</v>
      </c>
      <c r="L30" s="3" t="s">
        <v>301</v>
      </c>
      <c r="M30" s="3" t="s">
        <v>82</v>
      </c>
      <c r="N30" s="3">
        <v>22</v>
      </c>
      <c r="O30" s="3">
        <v>34</v>
      </c>
      <c r="P30" s="3" t="s">
        <v>18</v>
      </c>
      <c r="Q30" s="5">
        <f t="shared" si="3"/>
        <v>0.6470588235294118</v>
      </c>
    </row>
    <row r="31" spans="1:17" ht="18.75" customHeight="1" x14ac:dyDescent="0.3">
      <c r="A31" s="2">
        <f>A30+1</f>
        <v>8</v>
      </c>
      <c r="B31" s="3" t="s">
        <v>16</v>
      </c>
      <c r="C31" s="3" t="s">
        <v>31</v>
      </c>
      <c r="D31" s="3">
        <v>82</v>
      </c>
      <c r="E31" s="3">
        <v>102</v>
      </c>
      <c r="F31" s="3">
        <v>34</v>
      </c>
      <c r="G31" s="3" t="s">
        <v>18</v>
      </c>
      <c r="H31" s="5">
        <f>D31/F31</f>
        <v>2.4117647058823528</v>
      </c>
      <c r="K31" s="2">
        <f>K30</f>
        <v>5</v>
      </c>
      <c r="L31" s="3" t="s">
        <v>16</v>
      </c>
      <c r="M31" s="3" t="s">
        <v>21</v>
      </c>
      <c r="N31" s="3">
        <v>22</v>
      </c>
      <c r="O31" s="3">
        <v>34</v>
      </c>
      <c r="P31" s="3" t="s">
        <v>15</v>
      </c>
      <c r="Q31" s="5">
        <f t="shared" si="3"/>
        <v>0.6470588235294118</v>
      </c>
    </row>
    <row r="32" spans="1:17" ht="18.75" customHeight="1" x14ac:dyDescent="0.3">
      <c r="A32" s="2">
        <f>A31</f>
        <v>8</v>
      </c>
      <c r="B32" s="3" t="s">
        <v>16</v>
      </c>
      <c r="C32" s="3" t="s">
        <v>25</v>
      </c>
      <c r="D32" s="3">
        <v>82</v>
      </c>
      <c r="E32" s="3">
        <v>102</v>
      </c>
      <c r="F32" s="3">
        <v>34</v>
      </c>
      <c r="G32" s="3" t="s">
        <v>18</v>
      </c>
      <c r="H32" s="5">
        <f>D32/F32</f>
        <v>2.4117647058823528</v>
      </c>
      <c r="K32" s="2">
        <f>K31+4</f>
        <v>9</v>
      </c>
      <c r="L32" s="3" t="s">
        <v>16</v>
      </c>
      <c r="M32" s="3" t="s">
        <v>40</v>
      </c>
      <c r="N32" s="3">
        <v>23</v>
      </c>
      <c r="O32" s="3">
        <v>34</v>
      </c>
      <c r="P32" s="3" t="s">
        <v>18</v>
      </c>
      <c r="Q32" s="5">
        <f t="shared" si="3"/>
        <v>0.67647058823529416</v>
      </c>
    </row>
    <row r="33" spans="1:17" ht="18.75" customHeight="1" x14ac:dyDescent="0.3">
      <c r="A33" s="2">
        <f>A32</f>
        <v>8</v>
      </c>
      <c r="B33" s="3" t="s">
        <v>16</v>
      </c>
      <c r="C33" s="3" t="s">
        <v>135</v>
      </c>
      <c r="D33" s="3">
        <v>82</v>
      </c>
      <c r="E33" s="3">
        <v>102</v>
      </c>
      <c r="F33" s="3">
        <v>34</v>
      </c>
      <c r="G33" s="3" t="s">
        <v>18</v>
      </c>
      <c r="H33" s="5">
        <f>D33/F33</f>
        <v>2.4117647058823528</v>
      </c>
      <c r="K33" s="2">
        <f>K32+1</f>
        <v>10</v>
      </c>
      <c r="L33" s="3" t="s">
        <v>303</v>
      </c>
      <c r="M33" s="3" t="s">
        <v>21</v>
      </c>
      <c r="N33" s="3">
        <v>24</v>
      </c>
      <c r="O33" s="3">
        <v>34</v>
      </c>
      <c r="P33" s="3" t="s">
        <v>98</v>
      </c>
      <c r="Q33" s="5">
        <f t="shared" si="3"/>
        <v>0.70588235294117652</v>
      </c>
    </row>
    <row r="34" spans="1:17" ht="18.75" customHeight="1" x14ac:dyDescent="0.3">
      <c r="A34" s="2">
        <f>A33+3</f>
        <v>11</v>
      </c>
      <c r="B34" s="3" t="s">
        <v>39</v>
      </c>
      <c r="C34" s="3" t="s">
        <v>21</v>
      </c>
      <c r="D34" s="3">
        <v>81</v>
      </c>
      <c r="E34" s="3">
        <v>102</v>
      </c>
      <c r="F34" s="3">
        <v>34</v>
      </c>
      <c r="G34" s="3" t="s">
        <v>18</v>
      </c>
      <c r="H34" s="5">
        <f>D34/F34</f>
        <v>2.3823529411764706</v>
      </c>
      <c r="K34" s="2">
        <f>K33</f>
        <v>10</v>
      </c>
      <c r="L34" s="3" t="s">
        <v>51</v>
      </c>
      <c r="M34" s="3" t="s">
        <v>35</v>
      </c>
      <c r="N34" s="3">
        <v>24</v>
      </c>
      <c r="O34" s="3">
        <v>34</v>
      </c>
      <c r="P34" s="3" t="s">
        <v>18</v>
      </c>
      <c r="Q34" s="5">
        <f t="shared" si="3"/>
        <v>0.70588235294117652</v>
      </c>
    </row>
    <row r="35" spans="1:17" ht="18.75" customHeight="1" x14ac:dyDescent="0.3">
      <c r="A35" s="2">
        <f>A34</f>
        <v>11</v>
      </c>
      <c r="B35" s="3" t="s">
        <v>16</v>
      </c>
      <c r="C35" s="3" t="s">
        <v>142</v>
      </c>
      <c r="D35" s="3">
        <v>54</v>
      </c>
      <c r="E35" s="3" t="s">
        <v>70</v>
      </c>
      <c r="F35" s="3">
        <v>34</v>
      </c>
      <c r="G35" s="3" t="s">
        <v>18</v>
      </c>
      <c r="H35" s="5">
        <f>(D35/68)*3</f>
        <v>2.3823529411764706</v>
      </c>
      <c r="K35" s="2">
        <f>K33</f>
        <v>10</v>
      </c>
      <c r="L35" s="3" t="s">
        <v>300</v>
      </c>
      <c r="M35" s="3" t="s">
        <v>57</v>
      </c>
      <c r="N35" s="3">
        <v>24</v>
      </c>
      <c r="O35" s="3">
        <v>34</v>
      </c>
      <c r="P35" s="3" t="s">
        <v>98</v>
      </c>
      <c r="Q35" s="5">
        <f t="shared" si="3"/>
        <v>0.70588235294117652</v>
      </c>
    </row>
    <row r="36" spans="1:17" ht="18.75" customHeight="1" x14ac:dyDescent="0.3">
      <c r="A36" s="2">
        <f>A35+2</f>
        <v>13</v>
      </c>
      <c r="B36" s="3" t="s">
        <v>16</v>
      </c>
      <c r="C36" s="3" t="s">
        <v>296</v>
      </c>
      <c r="D36" s="3">
        <v>53</v>
      </c>
      <c r="E36" s="3" t="s">
        <v>70</v>
      </c>
      <c r="F36" s="3">
        <v>34</v>
      </c>
      <c r="G36" s="3" t="s">
        <v>18</v>
      </c>
      <c r="H36" s="5">
        <f>(D36/68)*3</f>
        <v>2.3382352941176472</v>
      </c>
      <c r="K36" s="2">
        <f>K35+3</f>
        <v>13</v>
      </c>
      <c r="L36" s="3" t="s">
        <v>39</v>
      </c>
      <c r="M36" s="3" t="s">
        <v>21</v>
      </c>
      <c r="N36" s="3">
        <v>25</v>
      </c>
      <c r="O36" s="3">
        <v>34</v>
      </c>
      <c r="P36" s="3" t="s">
        <v>18</v>
      </c>
      <c r="Q36" s="5">
        <f t="shared" si="3"/>
        <v>0.73529411764705888</v>
      </c>
    </row>
    <row r="37" spans="1:17" ht="18.75" customHeight="1" x14ac:dyDescent="0.3">
      <c r="A37" s="2">
        <f>A36</f>
        <v>13</v>
      </c>
      <c r="B37" s="3" t="s">
        <v>16</v>
      </c>
      <c r="C37" s="3" t="s">
        <v>86</v>
      </c>
      <c r="D37" s="3">
        <v>53</v>
      </c>
      <c r="E37" s="3" t="s">
        <v>70</v>
      </c>
      <c r="F37" s="3">
        <v>34</v>
      </c>
      <c r="G37" s="3" t="s">
        <v>18</v>
      </c>
      <c r="H37" s="5">
        <f>(D37/68)*3</f>
        <v>2.3382352941176472</v>
      </c>
      <c r="K37" s="2">
        <f>K36</f>
        <v>13</v>
      </c>
      <c r="L37" s="3" t="s">
        <v>16</v>
      </c>
      <c r="M37" s="3" t="s">
        <v>134</v>
      </c>
      <c r="N37" s="3">
        <v>25</v>
      </c>
      <c r="O37" s="3">
        <v>34</v>
      </c>
      <c r="P37" s="3" t="s">
        <v>18</v>
      </c>
      <c r="Q37" s="5">
        <f t="shared" si="3"/>
        <v>0.73529411764705888</v>
      </c>
    </row>
    <row r="38" spans="1:17" ht="18.75" customHeight="1" x14ac:dyDescent="0.3">
      <c r="A38" s="2">
        <f>A36+2</f>
        <v>15</v>
      </c>
      <c r="B38" s="3" t="s">
        <v>16</v>
      </c>
      <c r="C38" s="3" t="s">
        <v>23</v>
      </c>
      <c r="D38" s="3">
        <v>79</v>
      </c>
      <c r="E38" s="3">
        <v>102</v>
      </c>
      <c r="F38" s="3">
        <v>34</v>
      </c>
      <c r="G38" s="3" t="s">
        <v>18</v>
      </c>
      <c r="H38" s="5">
        <f>D38/F38</f>
        <v>2.3235294117647061</v>
      </c>
      <c r="K38" s="2">
        <f>K37</f>
        <v>13</v>
      </c>
      <c r="L38" s="3" t="s">
        <v>16</v>
      </c>
      <c r="M38" s="3" t="s">
        <v>261</v>
      </c>
      <c r="N38" s="3">
        <v>25</v>
      </c>
      <c r="O38" s="3">
        <v>34</v>
      </c>
      <c r="P38" s="3" t="s">
        <v>44</v>
      </c>
      <c r="Q38" s="5">
        <f t="shared" si="3"/>
        <v>0.73529411764705888</v>
      </c>
    </row>
  </sheetData>
  <mergeCells count="4">
    <mergeCell ref="K22:Q22"/>
    <mergeCell ref="K1:Q1"/>
    <mergeCell ref="A22:H22"/>
    <mergeCell ref="A1:H1"/>
  </mergeCells>
  <conditionalFormatting sqref="H3:H20"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4:H38"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7"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4:Q38">
    <cfRule type="colorScale" priority="59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0"/>
  <sheetViews>
    <sheetView workbookViewId="0">
      <selection activeCell="B5" sqref="B5"/>
    </sheetView>
  </sheetViews>
  <sheetFormatPr baseColWidth="10" defaultRowHeight="15" x14ac:dyDescent="0.25"/>
  <cols>
    <col min="1" max="1" width="14.85546875" customWidth="1"/>
    <col min="2" max="2" width="25.7109375" bestFit="1" customWidth="1"/>
    <col min="3" max="3" width="13.5703125" bestFit="1" customWidth="1"/>
    <col min="4" max="4" width="14" bestFit="1" customWidth="1"/>
    <col min="5" max="5" width="23.42578125" bestFit="1" customWidth="1"/>
    <col min="6" max="6" width="13.85546875" bestFit="1" customWidth="1"/>
    <col min="7" max="7" width="30.140625" customWidth="1"/>
    <col min="10" max="10" width="12" customWidth="1"/>
    <col min="11" max="11" width="25.7109375" bestFit="1" customWidth="1"/>
    <col min="12" max="12" width="16.28515625" customWidth="1"/>
    <col min="13" max="13" width="19" bestFit="1" customWidth="1"/>
    <col min="14" max="14" width="23.42578125" bestFit="1" customWidth="1"/>
    <col min="15" max="15" width="13.85546875" bestFit="1" customWidth="1"/>
    <col min="16" max="16" width="33.5703125" bestFit="1" customWidth="1"/>
  </cols>
  <sheetData>
    <row r="1" spans="1:16" ht="18.75" customHeight="1" x14ac:dyDescent="0.3">
      <c r="A1" s="21" t="s">
        <v>312</v>
      </c>
      <c r="B1" s="20"/>
      <c r="C1" s="20"/>
      <c r="D1" s="20"/>
      <c r="E1" s="20"/>
      <c r="F1" s="20"/>
      <c r="G1" s="20"/>
      <c r="J1" s="21" t="s">
        <v>313</v>
      </c>
      <c r="K1" s="20"/>
      <c r="L1" s="20"/>
      <c r="M1" s="20"/>
      <c r="N1" s="20"/>
      <c r="O1" s="20"/>
      <c r="P1" s="20"/>
    </row>
    <row r="2" spans="1:16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J2" s="2" t="s">
        <v>4</v>
      </c>
      <c r="K2" s="2" t="s">
        <v>5</v>
      </c>
      <c r="L2" s="2" t="s">
        <v>6</v>
      </c>
      <c r="M2" s="2" t="s">
        <v>11</v>
      </c>
      <c r="N2" s="2" t="s">
        <v>8</v>
      </c>
      <c r="O2" s="2" t="s">
        <v>9</v>
      </c>
      <c r="P2" s="2" t="s">
        <v>12</v>
      </c>
    </row>
    <row r="3" spans="1:16" ht="18.75" customHeight="1" x14ac:dyDescent="0.3">
      <c r="A3" s="2">
        <v>1</v>
      </c>
      <c r="B3" s="3" t="s">
        <v>372</v>
      </c>
      <c r="C3" s="3" t="s">
        <v>20</v>
      </c>
      <c r="D3" s="3">
        <v>85</v>
      </c>
      <c r="E3" s="3">
        <v>34</v>
      </c>
      <c r="F3" s="3" t="s">
        <v>15</v>
      </c>
      <c r="G3" s="5">
        <f t="shared" ref="G3:G13" si="0">D3/E3</f>
        <v>2.5</v>
      </c>
      <c r="J3" s="2">
        <v>1</v>
      </c>
      <c r="K3" s="3" t="s">
        <v>372</v>
      </c>
      <c r="L3" s="3" t="s">
        <v>14</v>
      </c>
      <c r="M3" s="3">
        <v>119</v>
      </c>
      <c r="N3" s="3">
        <v>34</v>
      </c>
      <c r="O3" s="3" t="s">
        <v>18</v>
      </c>
      <c r="P3" s="5">
        <f t="shared" ref="P3:P13" si="1">M3/N3</f>
        <v>3.5</v>
      </c>
    </row>
    <row r="4" spans="1:16" ht="18.75" customHeight="1" x14ac:dyDescent="0.3">
      <c r="A4" s="2">
        <f>A3+1</f>
        <v>2</v>
      </c>
      <c r="B4" s="3" t="s">
        <v>141</v>
      </c>
      <c r="C4" s="3" t="s">
        <v>35</v>
      </c>
      <c r="D4" s="3">
        <v>84</v>
      </c>
      <c r="E4" s="3">
        <v>34</v>
      </c>
      <c r="F4" s="3" t="s">
        <v>15</v>
      </c>
      <c r="G4" s="5">
        <f t="shared" si="0"/>
        <v>2.4705882352941178</v>
      </c>
      <c r="J4" s="2">
        <f>J3+1</f>
        <v>2</v>
      </c>
      <c r="K4" s="3" t="s">
        <v>372</v>
      </c>
      <c r="L4" s="3" t="s">
        <v>129</v>
      </c>
      <c r="M4" s="3">
        <v>112</v>
      </c>
      <c r="N4" s="3">
        <v>34</v>
      </c>
      <c r="O4" s="3" t="s">
        <v>18</v>
      </c>
      <c r="P4" s="5">
        <f t="shared" si="1"/>
        <v>3.2941176470588234</v>
      </c>
    </row>
    <row r="5" spans="1:16" ht="18.75" customHeight="1" x14ac:dyDescent="0.3">
      <c r="A5" s="2">
        <f>A4+1</f>
        <v>3</v>
      </c>
      <c r="B5" s="3" t="s">
        <v>372</v>
      </c>
      <c r="C5" s="3" t="s">
        <v>134</v>
      </c>
      <c r="D5" s="3">
        <v>83</v>
      </c>
      <c r="E5" s="3">
        <v>34</v>
      </c>
      <c r="F5" s="3" t="s">
        <v>15</v>
      </c>
      <c r="G5" s="5">
        <f t="shared" si="0"/>
        <v>2.4411764705882355</v>
      </c>
      <c r="J5" s="2">
        <f>J4+1</f>
        <v>3</v>
      </c>
      <c r="K5" s="3" t="s">
        <v>130</v>
      </c>
      <c r="L5" s="3" t="s">
        <v>35</v>
      </c>
      <c r="M5" s="3">
        <v>111</v>
      </c>
      <c r="N5" s="3">
        <v>34</v>
      </c>
      <c r="O5" s="3" t="s">
        <v>18</v>
      </c>
      <c r="P5" s="5">
        <f t="shared" si="1"/>
        <v>3.2647058823529411</v>
      </c>
    </row>
    <row r="6" spans="1:16" ht="18.75" customHeight="1" x14ac:dyDescent="0.3">
      <c r="A6" s="2">
        <f>A5</f>
        <v>3</v>
      </c>
      <c r="B6" s="3" t="s">
        <v>130</v>
      </c>
      <c r="C6" s="3" t="s">
        <v>14</v>
      </c>
      <c r="D6" s="3">
        <v>83</v>
      </c>
      <c r="E6" s="3">
        <v>34</v>
      </c>
      <c r="F6" s="3" t="s">
        <v>15</v>
      </c>
      <c r="G6" s="5">
        <f t="shared" si="0"/>
        <v>2.4411764705882355</v>
      </c>
      <c r="J6" s="2">
        <f>J5+1</f>
        <v>4</v>
      </c>
      <c r="K6" s="3" t="s">
        <v>372</v>
      </c>
      <c r="L6" s="3" t="s">
        <v>20</v>
      </c>
      <c r="M6" s="3">
        <v>106</v>
      </c>
      <c r="N6" s="3">
        <v>34</v>
      </c>
      <c r="O6" s="3" t="s">
        <v>15</v>
      </c>
      <c r="P6" s="5">
        <f t="shared" si="1"/>
        <v>3.1176470588235294</v>
      </c>
    </row>
    <row r="7" spans="1:16" ht="18.75" customHeight="1" x14ac:dyDescent="0.3">
      <c r="A7" s="2">
        <f>A6+2</f>
        <v>5</v>
      </c>
      <c r="B7" s="3" t="s">
        <v>372</v>
      </c>
      <c r="C7" s="3" t="s">
        <v>30</v>
      </c>
      <c r="D7" s="3">
        <v>82</v>
      </c>
      <c r="E7" s="3">
        <v>34</v>
      </c>
      <c r="F7" s="3" t="s">
        <v>15</v>
      </c>
      <c r="G7" s="5">
        <f t="shared" si="0"/>
        <v>2.4117647058823528</v>
      </c>
      <c r="J7" s="2">
        <f>J6+1</f>
        <v>5</v>
      </c>
      <c r="K7" s="3" t="s">
        <v>130</v>
      </c>
      <c r="L7" s="3" t="s">
        <v>133</v>
      </c>
      <c r="M7" s="3">
        <v>105</v>
      </c>
      <c r="N7" s="3">
        <v>34</v>
      </c>
      <c r="O7" s="3" t="s">
        <v>18</v>
      </c>
      <c r="P7" s="5">
        <f t="shared" si="1"/>
        <v>3.0882352941176472</v>
      </c>
    </row>
    <row r="8" spans="1:16" ht="18.75" customHeight="1" x14ac:dyDescent="0.3">
      <c r="A8" s="2">
        <f>A7+1</f>
        <v>6</v>
      </c>
      <c r="B8" s="3" t="s">
        <v>372</v>
      </c>
      <c r="C8" s="3" t="s">
        <v>25</v>
      </c>
      <c r="D8" s="3">
        <v>81</v>
      </c>
      <c r="E8" s="3">
        <v>34</v>
      </c>
      <c r="F8" s="3" t="s">
        <v>15</v>
      </c>
      <c r="G8" s="5">
        <f t="shared" si="0"/>
        <v>2.3823529411764706</v>
      </c>
      <c r="J8" s="2">
        <f>J7+1</f>
        <v>6</v>
      </c>
      <c r="K8" s="3" t="s">
        <v>130</v>
      </c>
      <c r="L8" s="3" t="s">
        <v>27</v>
      </c>
      <c r="M8" s="3">
        <v>103</v>
      </c>
      <c r="N8" s="3">
        <v>34</v>
      </c>
      <c r="O8" s="3" t="s">
        <v>18</v>
      </c>
      <c r="P8" s="5">
        <f t="shared" si="1"/>
        <v>3.0294117647058822</v>
      </c>
    </row>
    <row r="9" spans="1:16" ht="18.75" customHeight="1" x14ac:dyDescent="0.3">
      <c r="A9" s="2">
        <f>A8</f>
        <v>6</v>
      </c>
      <c r="B9" s="3" t="s">
        <v>130</v>
      </c>
      <c r="C9" s="3" t="s">
        <v>26</v>
      </c>
      <c r="D9" s="3">
        <v>81</v>
      </c>
      <c r="E9" s="3">
        <v>34</v>
      </c>
      <c r="F9" s="3" t="s">
        <v>15</v>
      </c>
      <c r="G9" s="5">
        <f t="shared" si="0"/>
        <v>2.3823529411764706</v>
      </c>
      <c r="J9" s="2">
        <f>J8</f>
        <v>6</v>
      </c>
      <c r="K9" s="3" t="s">
        <v>130</v>
      </c>
      <c r="L9" s="3" t="s">
        <v>135</v>
      </c>
      <c r="M9" s="3">
        <v>103</v>
      </c>
      <c r="N9" s="3">
        <v>34</v>
      </c>
      <c r="O9" s="3" t="s">
        <v>18</v>
      </c>
      <c r="P9" s="5">
        <f t="shared" si="1"/>
        <v>3.0294117647058822</v>
      </c>
    </row>
    <row r="10" spans="1:16" ht="18.75" customHeight="1" x14ac:dyDescent="0.3">
      <c r="A10" s="2">
        <f>A9+2</f>
        <v>8</v>
      </c>
      <c r="B10" s="3" t="s">
        <v>141</v>
      </c>
      <c r="C10" s="3" t="s">
        <v>134</v>
      </c>
      <c r="D10" s="3">
        <v>80</v>
      </c>
      <c r="E10" s="3">
        <v>34</v>
      </c>
      <c r="F10" s="3" t="s">
        <v>44</v>
      </c>
      <c r="G10" s="5">
        <f t="shared" si="0"/>
        <v>2.3529411764705883</v>
      </c>
      <c r="J10" s="2">
        <f>J9+2</f>
        <v>8</v>
      </c>
      <c r="K10" s="3" t="s">
        <v>372</v>
      </c>
      <c r="L10" s="3" t="s">
        <v>32</v>
      </c>
      <c r="M10" s="3">
        <v>102</v>
      </c>
      <c r="N10" s="3">
        <v>34</v>
      </c>
      <c r="O10" s="3" t="s">
        <v>18</v>
      </c>
      <c r="P10" s="5">
        <f t="shared" si="1"/>
        <v>3</v>
      </c>
    </row>
    <row r="11" spans="1:16" ht="18.75" customHeight="1" x14ac:dyDescent="0.3">
      <c r="A11" s="2">
        <f>A10+1</f>
        <v>9</v>
      </c>
      <c r="B11" s="3" t="s">
        <v>372</v>
      </c>
      <c r="C11" s="3" t="s">
        <v>29</v>
      </c>
      <c r="D11" s="3">
        <v>79</v>
      </c>
      <c r="E11" s="3">
        <v>34</v>
      </c>
      <c r="F11" s="3" t="s">
        <v>15</v>
      </c>
      <c r="G11" s="5">
        <f t="shared" si="0"/>
        <v>2.3235294117647061</v>
      </c>
      <c r="J11" s="2">
        <f>J10+1</f>
        <v>9</v>
      </c>
      <c r="K11" s="3" t="s">
        <v>130</v>
      </c>
      <c r="L11" s="3" t="s">
        <v>17</v>
      </c>
      <c r="M11" s="3">
        <v>101</v>
      </c>
      <c r="N11" s="3">
        <v>34</v>
      </c>
      <c r="O11" s="3" t="s">
        <v>18</v>
      </c>
      <c r="P11" s="5">
        <f t="shared" si="1"/>
        <v>2.9705882352941178</v>
      </c>
    </row>
    <row r="12" spans="1:16" ht="18.75" customHeight="1" x14ac:dyDescent="0.3">
      <c r="A12" s="2">
        <f>A11+1</f>
        <v>10</v>
      </c>
      <c r="B12" s="3" t="s">
        <v>130</v>
      </c>
      <c r="C12" s="3" t="s">
        <v>20</v>
      </c>
      <c r="D12" s="3">
        <v>78</v>
      </c>
      <c r="E12" s="3">
        <v>34</v>
      </c>
      <c r="F12" s="3" t="s">
        <v>44</v>
      </c>
      <c r="G12" s="5">
        <f t="shared" si="0"/>
        <v>2.2941176470588234</v>
      </c>
      <c r="J12" s="2">
        <f>J11+1</f>
        <v>10</v>
      </c>
      <c r="K12" s="3" t="s">
        <v>372</v>
      </c>
      <c r="L12" s="3" t="s">
        <v>26</v>
      </c>
      <c r="M12" s="3">
        <v>98</v>
      </c>
      <c r="N12" s="3">
        <v>34</v>
      </c>
      <c r="O12" s="3" t="s">
        <v>18</v>
      </c>
      <c r="P12" s="5">
        <f t="shared" si="1"/>
        <v>2.8823529411764706</v>
      </c>
    </row>
    <row r="13" spans="1:16" ht="18.75" customHeight="1" x14ac:dyDescent="0.3">
      <c r="A13" s="2">
        <f>A12</f>
        <v>10</v>
      </c>
      <c r="B13" s="3" t="s">
        <v>372</v>
      </c>
      <c r="C13" s="3" t="s">
        <v>135</v>
      </c>
      <c r="D13" s="3">
        <v>78</v>
      </c>
      <c r="E13" s="3">
        <v>34</v>
      </c>
      <c r="F13" s="3" t="s">
        <v>15</v>
      </c>
      <c r="G13" s="5">
        <f t="shared" si="0"/>
        <v>2.2941176470588234</v>
      </c>
      <c r="J13" s="2">
        <f>J12</f>
        <v>10</v>
      </c>
      <c r="K13" s="3" t="s">
        <v>130</v>
      </c>
      <c r="L13" s="3" t="s">
        <v>14</v>
      </c>
      <c r="M13" s="3">
        <v>98</v>
      </c>
      <c r="N13" s="3">
        <v>34</v>
      </c>
      <c r="O13" s="3" t="s">
        <v>15</v>
      </c>
      <c r="P13" s="5">
        <f t="shared" si="1"/>
        <v>2.8823529411764706</v>
      </c>
    </row>
    <row r="15" spans="1:16" ht="18.75" customHeight="1" x14ac:dyDescent="0.3">
      <c r="A15" s="21" t="s">
        <v>314</v>
      </c>
      <c r="B15" s="20"/>
      <c r="C15" s="20"/>
      <c r="D15" s="20"/>
      <c r="E15" s="20"/>
      <c r="F15" s="20"/>
      <c r="G15" s="20"/>
      <c r="J15" s="21" t="s">
        <v>315</v>
      </c>
      <c r="K15" s="20"/>
      <c r="L15" s="20"/>
      <c r="M15" s="20"/>
      <c r="N15" s="20"/>
      <c r="O15" s="20"/>
      <c r="P15" s="20"/>
    </row>
    <row r="16" spans="1:16" ht="18.75" customHeight="1" x14ac:dyDescent="0.3">
      <c r="A16" s="2" t="s">
        <v>4</v>
      </c>
      <c r="B16" s="2" t="s">
        <v>5</v>
      </c>
      <c r="C16" s="2" t="s">
        <v>6</v>
      </c>
      <c r="D16" s="2" t="s">
        <v>7</v>
      </c>
      <c r="E16" s="2" t="s">
        <v>8</v>
      </c>
      <c r="F16" s="2" t="s">
        <v>9</v>
      </c>
      <c r="G16" s="2" t="s">
        <v>10</v>
      </c>
      <c r="J16" s="2" t="s">
        <v>4</v>
      </c>
      <c r="K16" s="2" t="s">
        <v>5</v>
      </c>
      <c r="L16" s="2" t="s">
        <v>6</v>
      </c>
      <c r="M16" s="2" t="s">
        <v>201</v>
      </c>
      <c r="N16" s="2" t="s">
        <v>8</v>
      </c>
      <c r="O16" s="2" t="s">
        <v>9</v>
      </c>
      <c r="P16" s="2" t="s">
        <v>202</v>
      </c>
    </row>
    <row r="17" spans="1:16" ht="18.75" customHeight="1" x14ac:dyDescent="0.3">
      <c r="A17" s="2">
        <f>1</f>
        <v>1</v>
      </c>
      <c r="B17" s="3" t="s">
        <v>130</v>
      </c>
      <c r="C17" s="3" t="s">
        <v>35</v>
      </c>
      <c r="D17" s="3">
        <v>91</v>
      </c>
      <c r="E17" s="3">
        <v>34</v>
      </c>
      <c r="F17" s="3" t="s">
        <v>18</v>
      </c>
      <c r="G17" s="5">
        <f t="shared" ref="G17:G30" si="2">D17/E17</f>
        <v>2.6764705882352939</v>
      </c>
      <c r="J17" s="2">
        <v>1</v>
      </c>
      <c r="K17" s="3" t="s">
        <v>130</v>
      </c>
      <c r="L17" s="3" t="s">
        <v>49</v>
      </c>
      <c r="M17" s="3">
        <v>18</v>
      </c>
      <c r="N17" s="3">
        <v>34</v>
      </c>
      <c r="O17" s="3" t="s">
        <v>18</v>
      </c>
      <c r="P17" s="5">
        <f t="shared" ref="P17:P30" si="3">M17/N17</f>
        <v>0.52941176470588236</v>
      </c>
    </row>
    <row r="18" spans="1:16" ht="18.75" customHeight="1" x14ac:dyDescent="0.3">
      <c r="A18" s="2">
        <f>A17+1</f>
        <v>2</v>
      </c>
      <c r="B18" s="3" t="s">
        <v>372</v>
      </c>
      <c r="C18" s="3" t="s">
        <v>129</v>
      </c>
      <c r="D18" s="3">
        <v>89</v>
      </c>
      <c r="E18" s="3">
        <v>34</v>
      </c>
      <c r="F18" s="3" t="s">
        <v>18</v>
      </c>
      <c r="G18" s="5">
        <f t="shared" si="2"/>
        <v>2.6176470588235294</v>
      </c>
      <c r="J18" s="2">
        <f>J17+1</f>
        <v>2</v>
      </c>
      <c r="K18" s="3" t="s">
        <v>372</v>
      </c>
      <c r="L18" s="3" t="s">
        <v>26</v>
      </c>
      <c r="M18" s="3">
        <v>19</v>
      </c>
      <c r="N18" s="3">
        <v>34</v>
      </c>
      <c r="O18" s="3" t="s">
        <v>18</v>
      </c>
      <c r="P18" s="5">
        <f t="shared" si="3"/>
        <v>0.55882352941176472</v>
      </c>
    </row>
    <row r="19" spans="1:16" ht="18.75" customHeight="1" x14ac:dyDescent="0.3">
      <c r="A19" s="2">
        <f>A18+1</f>
        <v>3</v>
      </c>
      <c r="B19" s="3" t="s">
        <v>130</v>
      </c>
      <c r="C19" s="3" t="s">
        <v>23</v>
      </c>
      <c r="D19" s="3">
        <v>88</v>
      </c>
      <c r="E19" s="3">
        <v>34</v>
      </c>
      <c r="F19" s="3" t="s">
        <v>18</v>
      </c>
      <c r="G19" s="5">
        <f t="shared" si="2"/>
        <v>2.5882352941176472</v>
      </c>
      <c r="J19" s="2">
        <f>J18+1</f>
        <v>3</v>
      </c>
      <c r="K19" s="3" t="s">
        <v>130</v>
      </c>
      <c r="L19" s="3" t="s">
        <v>134</v>
      </c>
      <c r="M19" s="3">
        <v>20</v>
      </c>
      <c r="N19" s="3">
        <v>34</v>
      </c>
      <c r="O19" s="3" t="s">
        <v>18</v>
      </c>
      <c r="P19" s="5">
        <f t="shared" si="3"/>
        <v>0.58823529411764708</v>
      </c>
    </row>
    <row r="20" spans="1:16" ht="18.75" customHeight="1" x14ac:dyDescent="0.3">
      <c r="A20" s="2">
        <f>A19</f>
        <v>3</v>
      </c>
      <c r="B20" s="3" t="s">
        <v>372</v>
      </c>
      <c r="C20" s="3" t="s">
        <v>32</v>
      </c>
      <c r="D20" s="3">
        <v>88</v>
      </c>
      <c r="E20" s="3">
        <v>34</v>
      </c>
      <c r="F20" s="3" t="s">
        <v>18</v>
      </c>
      <c r="G20" s="5">
        <f t="shared" si="2"/>
        <v>2.5882352941176472</v>
      </c>
      <c r="J20" s="2">
        <f>J19</f>
        <v>3</v>
      </c>
      <c r="K20" s="3" t="s">
        <v>372</v>
      </c>
      <c r="L20" s="3" t="s">
        <v>20</v>
      </c>
      <c r="M20" s="3">
        <v>20</v>
      </c>
      <c r="N20" s="3">
        <v>34</v>
      </c>
      <c r="O20" s="3" t="s">
        <v>15</v>
      </c>
      <c r="P20" s="5">
        <f t="shared" si="3"/>
        <v>0.58823529411764708</v>
      </c>
    </row>
    <row r="21" spans="1:16" ht="18.75" customHeight="1" x14ac:dyDescent="0.3">
      <c r="A21" s="2">
        <f>A20+2</f>
        <v>5</v>
      </c>
      <c r="B21" s="3" t="s">
        <v>130</v>
      </c>
      <c r="C21" s="3" t="s">
        <v>49</v>
      </c>
      <c r="D21" s="3">
        <v>87</v>
      </c>
      <c r="E21" s="3">
        <v>34</v>
      </c>
      <c r="F21" s="3" t="s">
        <v>18</v>
      </c>
      <c r="G21" s="5">
        <f t="shared" si="2"/>
        <v>2.5588235294117645</v>
      </c>
      <c r="J21" s="2">
        <f>J20+2</f>
        <v>5</v>
      </c>
      <c r="K21" s="3" t="s">
        <v>130</v>
      </c>
      <c r="L21" s="3" t="s">
        <v>35</v>
      </c>
      <c r="M21" s="3">
        <v>21</v>
      </c>
      <c r="N21" s="3">
        <v>34</v>
      </c>
      <c r="O21" s="3" t="s">
        <v>18</v>
      </c>
      <c r="P21" s="5">
        <f t="shared" si="3"/>
        <v>0.61764705882352944</v>
      </c>
    </row>
    <row r="22" spans="1:16" ht="18.75" customHeight="1" x14ac:dyDescent="0.3">
      <c r="A22" s="2">
        <f>A21+1</f>
        <v>6</v>
      </c>
      <c r="B22" s="3" t="s">
        <v>158</v>
      </c>
      <c r="C22" s="3" t="s">
        <v>20</v>
      </c>
      <c r="D22" s="3">
        <v>86</v>
      </c>
      <c r="E22" s="3">
        <v>34</v>
      </c>
      <c r="F22" s="3" t="s">
        <v>18</v>
      </c>
      <c r="G22" s="5">
        <f t="shared" si="2"/>
        <v>2.5294117647058822</v>
      </c>
      <c r="J22" s="2">
        <f>J21</f>
        <v>5</v>
      </c>
      <c r="K22" s="3" t="s">
        <v>372</v>
      </c>
      <c r="L22" s="3" t="s">
        <v>30</v>
      </c>
      <c r="M22" s="3">
        <v>21</v>
      </c>
      <c r="N22" s="3">
        <v>34</v>
      </c>
      <c r="O22" s="3" t="s">
        <v>15</v>
      </c>
      <c r="P22" s="5">
        <f t="shared" si="3"/>
        <v>0.61764705882352944</v>
      </c>
    </row>
    <row r="23" spans="1:16" ht="18.75" customHeight="1" x14ac:dyDescent="0.3">
      <c r="A23" s="2">
        <f>A22</f>
        <v>6</v>
      </c>
      <c r="B23" s="3" t="s">
        <v>372</v>
      </c>
      <c r="C23" s="3" t="s">
        <v>14</v>
      </c>
      <c r="D23" s="3">
        <v>86</v>
      </c>
      <c r="E23" s="3">
        <v>34</v>
      </c>
      <c r="F23" s="3" t="s">
        <v>18</v>
      </c>
      <c r="G23" s="5">
        <f t="shared" si="2"/>
        <v>2.5294117647058822</v>
      </c>
      <c r="J23" s="2">
        <f>J22+2</f>
        <v>7</v>
      </c>
      <c r="K23" s="3" t="s">
        <v>316</v>
      </c>
      <c r="L23" s="3" t="s">
        <v>197</v>
      </c>
      <c r="M23" s="3">
        <v>22</v>
      </c>
      <c r="N23" s="3">
        <v>34</v>
      </c>
      <c r="O23" s="3" t="s">
        <v>18</v>
      </c>
      <c r="P23" s="5">
        <f t="shared" si="3"/>
        <v>0.6470588235294118</v>
      </c>
    </row>
    <row r="24" spans="1:16" ht="18.75" customHeight="1" x14ac:dyDescent="0.3">
      <c r="A24" s="2">
        <f>A23+2</f>
        <v>8</v>
      </c>
      <c r="B24" s="3" t="s">
        <v>372</v>
      </c>
      <c r="C24" s="3" t="s">
        <v>20</v>
      </c>
      <c r="D24" s="3">
        <v>85</v>
      </c>
      <c r="E24" s="3">
        <v>34</v>
      </c>
      <c r="F24" s="3" t="s">
        <v>15</v>
      </c>
      <c r="G24" s="5">
        <f t="shared" si="2"/>
        <v>2.5</v>
      </c>
      <c r="J24" s="2">
        <f>J23</f>
        <v>7</v>
      </c>
      <c r="K24" s="3" t="s">
        <v>372</v>
      </c>
      <c r="L24" s="3" t="s">
        <v>129</v>
      </c>
      <c r="M24" s="3">
        <v>22</v>
      </c>
      <c r="N24" s="3">
        <v>34</v>
      </c>
      <c r="O24" s="3" t="s">
        <v>18</v>
      </c>
      <c r="P24" s="5">
        <f t="shared" si="3"/>
        <v>0.6470588235294118</v>
      </c>
    </row>
    <row r="25" spans="1:16" ht="18.75" customHeight="1" x14ac:dyDescent="0.3">
      <c r="A25" s="2">
        <f>A24+1</f>
        <v>9</v>
      </c>
      <c r="B25" s="3" t="s">
        <v>130</v>
      </c>
      <c r="C25" s="3" t="s">
        <v>30</v>
      </c>
      <c r="D25" s="3">
        <v>84</v>
      </c>
      <c r="E25" s="3">
        <v>34</v>
      </c>
      <c r="F25" s="3" t="s">
        <v>18</v>
      </c>
      <c r="G25" s="5">
        <f t="shared" si="2"/>
        <v>2.4705882352941178</v>
      </c>
      <c r="J25" s="2">
        <f>J24+2</f>
        <v>9</v>
      </c>
      <c r="K25" s="3" t="s">
        <v>372</v>
      </c>
      <c r="L25" s="3" t="s">
        <v>32</v>
      </c>
      <c r="M25" s="3">
        <v>23</v>
      </c>
      <c r="N25" s="3">
        <v>34</v>
      </c>
      <c r="O25" s="3" t="s">
        <v>18</v>
      </c>
      <c r="P25" s="5">
        <f t="shared" si="3"/>
        <v>0.67647058823529416</v>
      </c>
    </row>
    <row r="26" spans="1:16" ht="18.75" customHeight="1" x14ac:dyDescent="0.3">
      <c r="A26" s="2">
        <f>A25</f>
        <v>9</v>
      </c>
      <c r="B26" s="3" t="s">
        <v>130</v>
      </c>
      <c r="C26" s="3" t="s">
        <v>37</v>
      </c>
      <c r="D26" s="3">
        <v>84</v>
      </c>
      <c r="E26" s="3">
        <v>34</v>
      </c>
      <c r="F26" s="3" t="s">
        <v>18</v>
      </c>
      <c r="G26" s="5">
        <f t="shared" si="2"/>
        <v>2.4705882352941178</v>
      </c>
      <c r="J26" s="2">
        <f>J25</f>
        <v>9</v>
      </c>
      <c r="K26" s="3" t="s">
        <v>130</v>
      </c>
      <c r="L26" s="3" t="s">
        <v>231</v>
      </c>
      <c r="M26" s="3">
        <v>23</v>
      </c>
      <c r="N26" s="3">
        <v>34</v>
      </c>
      <c r="O26" s="3" t="s">
        <v>18</v>
      </c>
      <c r="P26" s="5">
        <f t="shared" si="3"/>
        <v>0.67647058823529416</v>
      </c>
    </row>
    <row r="27" spans="1:16" ht="18.75" customHeight="1" x14ac:dyDescent="0.3">
      <c r="A27" s="2">
        <f>A26</f>
        <v>9</v>
      </c>
      <c r="B27" s="3" t="s">
        <v>130</v>
      </c>
      <c r="C27" s="3" t="s">
        <v>134</v>
      </c>
      <c r="D27" s="3">
        <v>84</v>
      </c>
      <c r="E27" s="3">
        <v>34</v>
      </c>
      <c r="F27" s="3" t="s">
        <v>18</v>
      </c>
      <c r="G27" s="5">
        <f t="shared" si="2"/>
        <v>2.4705882352941178</v>
      </c>
      <c r="J27" s="2">
        <f>J26</f>
        <v>9</v>
      </c>
      <c r="K27" s="3" t="s">
        <v>130</v>
      </c>
      <c r="L27" s="3" t="s">
        <v>37</v>
      </c>
      <c r="M27" s="3">
        <v>23</v>
      </c>
      <c r="N27" s="3">
        <v>34</v>
      </c>
      <c r="O27" s="3" t="s">
        <v>18</v>
      </c>
      <c r="P27" s="5">
        <f t="shared" si="3"/>
        <v>0.67647058823529416</v>
      </c>
    </row>
    <row r="28" spans="1:16" ht="18.75" customHeight="1" x14ac:dyDescent="0.3">
      <c r="A28" s="2">
        <f>A27</f>
        <v>9</v>
      </c>
      <c r="B28" s="3" t="s">
        <v>130</v>
      </c>
      <c r="C28" s="3" t="s">
        <v>133</v>
      </c>
      <c r="D28" s="3">
        <v>84</v>
      </c>
      <c r="E28" s="3">
        <v>34</v>
      </c>
      <c r="F28" s="3" t="s">
        <v>18</v>
      </c>
      <c r="G28" s="5">
        <f t="shared" si="2"/>
        <v>2.4705882352941178</v>
      </c>
      <c r="J28" s="2">
        <f>J27</f>
        <v>9</v>
      </c>
      <c r="K28" s="3" t="s">
        <v>158</v>
      </c>
      <c r="L28" s="3" t="s">
        <v>20</v>
      </c>
      <c r="M28" s="3">
        <v>23</v>
      </c>
      <c r="N28" s="3">
        <v>34</v>
      </c>
      <c r="O28" s="3" t="s">
        <v>18</v>
      </c>
      <c r="P28" s="5">
        <f t="shared" si="3"/>
        <v>0.67647058823529416</v>
      </c>
    </row>
    <row r="29" spans="1:16" ht="18.75" customHeight="1" x14ac:dyDescent="0.3">
      <c r="A29" s="2">
        <f>A28</f>
        <v>9</v>
      </c>
      <c r="B29" s="3" t="s">
        <v>141</v>
      </c>
      <c r="C29" s="3" t="s">
        <v>35</v>
      </c>
      <c r="D29" s="3">
        <v>84</v>
      </c>
      <c r="E29" s="3">
        <v>34</v>
      </c>
      <c r="F29" s="3" t="s">
        <v>15</v>
      </c>
      <c r="G29" s="5">
        <f t="shared" si="2"/>
        <v>2.4705882352941178</v>
      </c>
      <c r="J29" s="2">
        <f>J28</f>
        <v>9</v>
      </c>
      <c r="K29" s="3" t="s">
        <v>372</v>
      </c>
      <c r="L29" s="3" t="s">
        <v>25</v>
      </c>
      <c r="M29" s="3">
        <v>23</v>
      </c>
      <c r="N29" s="3">
        <v>34</v>
      </c>
      <c r="O29" s="3" t="s">
        <v>15</v>
      </c>
      <c r="P29" s="5">
        <f t="shared" si="3"/>
        <v>0.67647058823529416</v>
      </c>
    </row>
    <row r="30" spans="1:16" ht="18.75" customHeight="1" x14ac:dyDescent="0.3">
      <c r="A30" s="2">
        <f>A29</f>
        <v>9</v>
      </c>
      <c r="B30" s="3" t="s">
        <v>130</v>
      </c>
      <c r="C30" s="3" t="s">
        <v>17</v>
      </c>
      <c r="D30" s="3">
        <v>84</v>
      </c>
      <c r="E30" s="3">
        <v>34</v>
      </c>
      <c r="F30" s="3" t="s">
        <v>18</v>
      </c>
      <c r="G30" s="5">
        <f t="shared" si="2"/>
        <v>2.4705882352941178</v>
      </c>
      <c r="J30" s="2">
        <f>J29</f>
        <v>9</v>
      </c>
      <c r="K30" s="3" t="s">
        <v>130</v>
      </c>
      <c r="L30" s="3" t="s">
        <v>25</v>
      </c>
      <c r="M30" s="3">
        <v>23</v>
      </c>
      <c r="N30" s="3">
        <v>34</v>
      </c>
      <c r="O30" s="3" t="s">
        <v>44</v>
      </c>
      <c r="P30" s="5">
        <f t="shared" si="3"/>
        <v>0.67647058823529416</v>
      </c>
    </row>
  </sheetData>
  <mergeCells count="4">
    <mergeCell ref="J1:P1"/>
    <mergeCell ref="A1:G1"/>
    <mergeCell ref="J15:P15"/>
    <mergeCell ref="A15:G15"/>
  </mergeCells>
  <conditionalFormatting sqref="G3:G13"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27"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3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4:G27 G22"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8:G30"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13"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7:P30">
    <cfRule type="colorScale" priority="4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42"/>
  <sheetViews>
    <sheetView tabSelected="1" topLeftCell="E13" workbookViewId="0">
      <selection activeCell="L9" sqref="L9"/>
    </sheetView>
  </sheetViews>
  <sheetFormatPr baseColWidth="10" defaultRowHeight="15" x14ac:dyDescent="0.25"/>
  <cols>
    <col min="2" max="2" width="25.7109375" bestFit="1" customWidth="1"/>
    <col min="3" max="3" width="17.85546875" customWidth="1"/>
    <col min="4" max="4" width="14" bestFit="1" customWidth="1"/>
    <col min="5" max="5" width="30.7109375" bestFit="1" customWidth="1"/>
    <col min="6" max="6" width="23.42578125" bestFit="1" customWidth="1"/>
    <col min="7" max="7" width="15" customWidth="1"/>
    <col min="8" max="8" width="28.42578125" bestFit="1" customWidth="1"/>
    <col min="11" max="11" width="11.85546875" customWidth="1"/>
    <col min="12" max="12" width="25.7109375" bestFit="1" customWidth="1"/>
    <col min="13" max="13" width="14.5703125" customWidth="1"/>
    <col min="14" max="14" width="19" bestFit="1" customWidth="1"/>
    <col min="15" max="15" width="23.42578125" bestFit="1" customWidth="1"/>
    <col min="16" max="16" width="13.85546875" bestFit="1" customWidth="1"/>
    <col min="17" max="17" width="33.5703125" bestFit="1" customWidth="1"/>
  </cols>
  <sheetData>
    <row r="1" spans="1:17" ht="18.75" customHeight="1" x14ac:dyDescent="0.3">
      <c r="A1" s="21" t="s">
        <v>317</v>
      </c>
      <c r="B1" s="20"/>
      <c r="C1" s="20"/>
      <c r="D1" s="20"/>
      <c r="E1" s="20"/>
      <c r="F1" s="20"/>
      <c r="G1" s="20"/>
      <c r="H1" s="20"/>
      <c r="K1" s="21" t="s">
        <v>318</v>
      </c>
      <c r="L1" s="20"/>
      <c r="M1" s="20"/>
      <c r="N1" s="20"/>
      <c r="O1" s="20"/>
      <c r="P1" s="20"/>
      <c r="Q1" s="20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10</v>
      </c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</row>
    <row r="3" spans="1:17" ht="18.75" customHeight="1" x14ac:dyDescent="0.3">
      <c r="A3" s="2">
        <v>1</v>
      </c>
      <c r="B3" s="3" t="s">
        <v>141</v>
      </c>
      <c r="C3" s="3" t="s">
        <v>142</v>
      </c>
      <c r="D3" s="3">
        <v>58</v>
      </c>
      <c r="E3" s="3" t="s">
        <v>70</v>
      </c>
      <c r="F3" s="3">
        <v>34</v>
      </c>
      <c r="G3" s="3" t="s">
        <v>15</v>
      </c>
      <c r="H3" s="5">
        <f>(D3/68)*3</f>
        <v>2.5588235294117645</v>
      </c>
      <c r="K3" s="2">
        <v>1</v>
      </c>
      <c r="L3" s="3" t="s">
        <v>372</v>
      </c>
      <c r="M3" s="3" t="s">
        <v>123</v>
      </c>
      <c r="N3" s="3">
        <v>122</v>
      </c>
      <c r="O3" s="3">
        <v>34</v>
      </c>
      <c r="P3" s="3" t="s">
        <v>18</v>
      </c>
      <c r="Q3" s="5">
        <f t="shared" ref="Q3:Q17" si="0">N3/O3</f>
        <v>3.5882352941176472</v>
      </c>
    </row>
    <row r="4" spans="1:17" ht="18.75" customHeight="1" x14ac:dyDescent="0.3">
      <c r="A4" s="2">
        <f>A3+1</f>
        <v>2</v>
      </c>
      <c r="B4" s="3" t="s">
        <v>372</v>
      </c>
      <c r="C4" s="3" t="s">
        <v>20</v>
      </c>
      <c r="D4" s="3">
        <v>85</v>
      </c>
      <c r="E4" s="3">
        <v>102</v>
      </c>
      <c r="F4" s="3">
        <v>34</v>
      </c>
      <c r="G4" s="3" t="s">
        <v>15</v>
      </c>
      <c r="H4" s="5">
        <f>D4/F4</f>
        <v>2.5</v>
      </c>
      <c r="K4" s="2">
        <f>K3+1</f>
        <v>2</v>
      </c>
      <c r="L4" s="3" t="s">
        <v>372</v>
      </c>
      <c r="M4" s="3" t="s">
        <v>144</v>
      </c>
      <c r="N4" s="3">
        <v>120</v>
      </c>
      <c r="O4" s="3">
        <v>34</v>
      </c>
      <c r="P4" s="3" t="s">
        <v>15</v>
      </c>
      <c r="Q4" s="5">
        <f t="shared" si="0"/>
        <v>3.5294117647058822</v>
      </c>
    </row>
    <row r="5" spans="1:17" ht="18.75" customHeight="1" x14ac:dyDescent="0.3">
      <c r="A5" s="2">
        <f>A4+1</f>
        <v>3</v>
      </c>
      <c r="B5" s="3" t="s">
        <v>141</v>
      </c>
      <c r="C5" s="3" t="s">
        <v>35</v>
      </c>
      <c r="D5" s="3">
        <v>84</v>
      </c>
      <c r="E5" s="3">
        <v>102</v>
      </c>
      <c r="F5" s="3">
        <v>34</v>
      </c>
      <c r="G5" s="3" t="s">
        <v>15</v>
      </c>
      <c r="H5" s="5">
        <f>D5/F5</f>
        <v>2.4705882352941178</v>
      </c>
      <c r="K5" s="2">
        <f>K4+1</f>
        <v>3</v>
      </c>
      <c r="L5" s="3" t="s">
        <v>372</v>
      </c>
      <c r="M5" s="3" t="s">
        <v>14</v>
      </c>
      <c r="N5" s="3">
        <v>119</v>
      </c>
      <c r="O5" s="3">
        <v>34</v>
      </c>
      <c r="P5" s="3" t="s">
        <v>18</v>
      </c>
      <c r="Q5" s="5">
        <f t="shared" si="0"/>
        <v>3.5</v>
      </c>
    </row>
    <row r="6" spans="1:17" ht="18.75" customHeight="1" x14ac:dyDescent="0.3">
      <c r="A6" s="2">
        <f>A5+1</f>
        <v>4</v>
      </c>
      <c r="B6" s="3" t="s">
        <v>372</v>
      </c>
      <c r="C6" s="3" t="s">
        <v>134</v>
      </c>
      <c r="D6" s="3">
        <v>83</v>
      </c>
      <c r="E6" s="3">
        <v>102</v>
      </c>
      <c r="F6" s="3">
        <v>34</v>
      </c>
      <c r="G6" s="3" t="s">
        <v>15</v>
      </c>
      <c r="H6" s="5">
        <f>D6/F6</f>
        <v>2.4411764705882355</v>
      </c>
      <c r="K6" s="2">
        <f>K5+1</f>
        <v>4</v>
      </c>
      <c r="L6" s="3" t="s">
        <v>130</v>
      </c>
      <c r="M6" s="3" t="s">
        <v>82</v>
      </c>
      <c r="N6" s="3">
        <v>117</v>
      </c>
      <c r="O6" s="3">
        <v>34</v>
      </c>
      <c r="P6" s="3" t="s">
        <v>18</v>
      </c>
      <c r="Q6" s="5">
        <f t="shared" si="0"/>
        <v>3.4411764705882355</v>
      </c>
    </row>
    <row r="7" spans="1:17" ht="18.75" customHeight="1" x14ac:dyDescent="0.3">
      <c r="A7" s="2">
        <f>A6</f>
        <v>4</v>
      </c>
      <c r="B7" s="3" t="s">
        <v>130</v>
      </c>
      <c r="C7" s="3" t="s">
        <v>14</v>
      </c>
      <c r="D7" s="3">
        <v>83</v>
      </c>
      <c r="E7" s="3">
        <v>102</v>
      </c>
      <c r="F7" s="3">
        <v>34</v>
      </c>
      <c r="G7" s="3" t="s">
        <v>15</v>
      </c>
      <c r="H7" s="5">
        <f>D7/F7</f>
        <v>2.4411764705882355</v>
      </c>
      <c r="K7" s="2">
        <f>K6</f>
        <v>4</v>
      </c>
      <c r="L7" s="3" t="s">
        <v>372</v>
      </c>
      <c r="M7" s="3" t="s">
        <v>83</v>
      </c>
      <c r="N7" s="3">
        <v>117</v>
      </c>
      <c r="O7" s="3">
        <v>34</v>
      </c>
      <c r="P7" s="3" t="s">
        <v>18</v>
      </c>
      <c r="Q7" s="5">
        <f t="shared" si="0"/>
        <v>3.4411764705882355</v>
      </c>
    </row>
    <row r="8" spans="1:17" ht="18.75" customHeight="1" x14ac:dyDescent="0.3">
      <c r="A8" s="2">
        <f>A7+2</f>
        <v>6</v>
      </c>
      <c r="B8" s="3" t="s">
        <v>141</v>
      </c>
      <c r="C8" s="3" t="s">
        <v>77</v>
      </c>
      <c r="D8" s="3">
        <v>55</v>
      </c>
      <c r="E8" s="3" t="s">
        <v>70</v>
      </c>
      <c r="F8" s="3">
        <v>34</v>
      </c>
      <c r="G8" s="3" t="s">
        <v>15</v>
      </c>
      <c r="H8" s="5">
        <f>(D8/68)*3</f>
        <v>2.4264705882352944</v>
      </c>
      <c r="K8" s="2">
        <f>K7+2</f>
        <v>6</v>
      </c>
      <c r="L8" s="3" t="s">
        <v>372</v>
      </c>
      <c r="M8" s="3" t="s">
        <v>129</v>
      </c>
      <c r="N8" s="3">
        <v>112</v>
      </c>
      <c r="O8" s="3">
        <v>34</v>
      </c>
      <c r="P8" s="3" t="s">
        <v>18</v>
      </c>
      <c r="Q8" s="5">
        <f t="shared" si="0"/>
        <v>3.2941176470588234</v>
      </c>
    </row>
    <row r="9" spans="1:17" ht="18.75" customHeight="1" x14ac:dyDescent="0.3">
      <c r="A9" s="2">
        <f>A8</f>
        <v>6</v>
      </c>
      <c r="B9" s="3" t="s">
        <v>372</v>
      </c>
      <c r="C9" s="3" t="s">
        <v>154</v>
      </c>
      <c r="D9" s="3">
        <v>55</v>
      </c>
      <c r="E9" s="3" t="s">
        <v>70</v>
      </c>
      <c r="F9" s="3">
        <v>34</v>
      </c>
      <c r="G9" s="3" t="s">
        <v>15</v>
      </c>
      <c r="H9" s="5">
        <f>(D9/68)*3</f>
        <v>2.4264705882352944</v>
      </c>
      <c r="K9" s="2">
        <f>K8+1</f>
        <v>7</v>
      </c>
      <c r="L9" s="3" t="s">
        <v>130</v>
      </c>
      <c r="M9" s="3" t="s">
        <v>35</v>
      </c>
      <c r="N9" s="3">
        <v>111</v>
      </c>
      <c r="O9" s="3">
        <v>34</v>
      </c>
      <c r="P9" s="3" t="s">
        <v>18</v>
      </c>
      <c r="Q9" s="5">
        <f t="shared" si="0"/>
        <v>3.2647058823529411</v>
      </c>
    </row>
    <row r="10" spans="1:17" ht="18.75" customHeight="1" x14ac:dyDescent="0.3">
      <c r="A10" s="2">
        <f>A9</f>
        <v>6</v>
      </c>
      <c r="B10" s="3" t="s">
        <v>141</v>
      </c>
      <c r="C10" s="3" t="s">
        <v>71</v>
      </c>
      <c r="D10" s="3">
        <v>55</v>
      </c>
      <c r="E10" s="3" t="s">
        <v>70</v>
      </c>
      <c r="F10" s="3">
        <v>34</v>
      </c>
      <c r="G10" s="3" t="s">
        <v>15</v>
      </c>
      <c r="H10" s="5">
        <f>(D10/68)*3</f>
        <v>2.4264705882352944</v>
      </c>
      <c r="K10" s="2">
        <f>K9+1</f>
        <v>8</v>
      </c>
      <c r="L10" s="3" t="s">
        <v>372</v>
      </c>
      <c r="M10" s="3" t="s">
        <v>68</v>
      </c>
      <c r="N10" s="3">
        <v>109</v>
      </c>
      <c r="O10" s="3">
        <v>34</v>
      </c>
      <c r="P10" s="3" t="s">
        <v>18</v>
      </c>
      <c r="Q10" s="5">
        <f t="shared" si="0"/>
        <v>3.2058823529411766</v>
      </c>
    </row>
    <row r="11" spans="1:17" ht="18.75" customHeight="1" x14ac:dyDescent="0.3">
      <c r="A11" s="2">
        <f>A10</f>
        <v>6</v>
      </c>
      <c r="B11" s="3" t="s">
        <v>141</v>
      </c>
      <c r="C11" s="3" t="s">
        <v>319</v>
      </c>
      <c r="D11" s="3">
        <v>55</v>
      </c>
      <c r="E11" s="3" t="s">
        <v>70</v>
      </c>
      <c r="F11" s="3">
        <v>34</v>
      </c>
      <c r="G11" s="3" t="s">
        <v>15</v>
      </c>
      <c r="H11" s="5">
        <f>(D11/68)*3</f>
        <v>2.4264705882352944</v>
      </c>
      <c r="K11" s="2">
        <f>K10+1</f>
        <v>9</v>
      </c>
      <c r="L11" s="3" t="s">
        <v>372</v>
      </c>
      <c r="M11" s="3" t="s">
        <v>157</v>
      </c>
      <c r="N11" s="3">
        <v>106</v>
      </c>
      <c r="O11" s="3">
        <v>34</v>
      </c>
      <c r="P11" s="3" t="s">
        <v>18</v>
      </c>
      <c r="Q11" s="5">
        <f t="shared" si="0"/>
        <v>3.1176470588235294</v>
      </c>
    </row>
    <row r="12" spans="1:17" ht="18.75" customHeight="1" x14ac:dyDescent="0.3">
      <c r="A12" s="2">
        <f>A11+4</f>
        <v>10</v>
      </c>
      <c r="B12" s="3" t="s">
        <v>372</v>
      </c>
      <c r="C12" s="3" t="s">
        <v>30</v>
      </c>
      <c r="D12" s="3">
        <v>82</v>
      </c>
      <c r="E12" s="3">
        <v>102</v>
      </c>
      <c r="F12" s="3">
        <v>34</v>
      </c>
      <c r="G12" s="3" t="s">
        <v>15</v>
      </c>
      <c r="H12" s="5">
        <f>D12/F12</f>
        <v>2.4117647058823528</v>
      </c>
      <c r="K12" s="2">
        <f>K11</f>
        <v>9</v>
      </c>
      <c r="L12" s="3" t="s">
        <v>372</v>
      </c>
      <c r="M12" s="3" t="s">
        <v>306</v>
      </c>
      <c r="N12" s="3">
        <v>106</v>
      </c>
      <c r="O12" s="3">
        <v>34</v>
      </c>
      <c r="P12" s="3" t="s">
        <v>18</v>
      </c>
      <c r="Q12" s="5">
        <f t="shared" si="0"/>
        <v>3.1176470588235294</v>
      </c>
    </row>
    <row r="13" spans="1:17" ht="18.75" customHeight="1" x14ac:dyDescent="0.3">
      <c r="A13" s="2">
        <f>A12+1</f>
        <v>11</v>
      </c>
      <c r="B13" s="3" t="s">
        <v>372</v>
      </c>
      <c r="C13" s="3" t="s">
        <v>25</v>
      </c>
      <c r="D13" s="3">
        <v>81</v>
      </c>
      <c r="E13" s="3">
        <v>102</v>
      </c>
      <c r="F13" s="3">
        <v>34</v>
      </c>
      <c r="G13" s="3" t="s">
        <v>15</v>
      </c>
      <c r="H13" s="5">
        <f>D13/F13</f>
        <v>2.3823529411764706</v>
      </c>
      <c r="K13" s="2">
        <f>K12</f>
        <v>9</v>
      </c>
      <c r="L13" s="3" t="s">
        <v>372</v>
      </c>
      <c r="M13" s="3" t="s">
        <v>20</v>
      </c>
      <c r="N13" s="3">
        <v>106</v>
      </c>
      <c r="O13" s="3">
        <v>34</v>
      </c>
      <c r="P13" s="3" t="s">
        <v>15</v>
      </c>
      <c r="Q13" s="5">
        <f t="shared" si="0"/>
        <v>3.1176470588235294</v>
      </c>
    </row>
    <row r="14" spans="1:17" ht="18.75" customHeight="1" x14ac:dyDescent="0.3">
      <c r="A14" s="2">
        <f>A13</f>
        <v>11</v>
      </c>
      <c r="B14" s="3" t="s">
        <v>130</v>
      </c>
      <c r="C14" s="3" t="s">
        <v>26</v>
      </c>
      <c r="D14" s="3">
        <v>81</v>
      </c>
      <c r="E14" s="3">
        <v>102</v>
      </c>
      <c r="F14" s="3">
        <v>34</v>
      </c>
      <c r="G14" s="3" t="s">
        <v>15</v>
      </c>
      <c r="H14" s="5">
        <f>D14/F14</f>
        <v>2.3823529411764706</v>
      </c>
      <c r="K14" s="2">
        <f>K13+3</f>
        <v>12</v>
      </c>
      <c r="L14" s="3" t="s">
        <v>130</v>
      </c>
      <c r="M14" s="3" t="s">
        <v>133</v>
      </c>
      <c r="N14" s="3">
        <v>105</v>
      </c>
      <c r="O14" s="3">
        <v>34</v>
      </c>
      <c r="P14" s="3" t="s">
        <v>18</v>
      </c>
      <c r="Q14" s="5">
        <f t="shared" si="0"/>
        <v>3.0882352941176472</v>
      </c>
    </row>
    <row r="15" spans="1:17" ht="18.75" customHeight="1" x14ac:dyDescent="0.3">
      <c r="A15" s="2">
        <f>A14</f>
        <v>11</v>
      </c>
      <c r="B15" s="3" t="s">
        <v>158</v>
      </c>
      <c r="C15" s="3" t="s">
        <v>309</v>
      </c>
      <c r="D15" s="3">
        <v>54</v>
      </c>
      <c r="E15" s="3" t="s">
        <v>70</v>
      </c>
      <c r="F15" s="3">
        <v>34</v>
      </c>
      <c r="G15" s="3" t="s">
        <v>15</v>
      </c>
      <c r="H15" s="5">
        <f>(D15/68)*3</f>
        <v>2.3823529411764706</v>
      </c>
      <c r="K15" s="2">
        <f>K14+1</f>
        <v>13</v>
      </c>
      <c r="L15" s="3" t="s">
        <v>372</v>
      </c>
      <c r="M15" s="3" t="s">
        <v>71</v>
      </c>
      <c r="N15" s="3">
        <v>104</v>
      </c>
      <c r="O15" s="3">
        <v>34</v>
      </c>
      <c r="P15" s="3" t="s">
        <v>18</v>
      </c>
      <c r="Q15" s="5">
        <f t="shared" si="0"/>
        <v>3.0588235294117645</v>
      </c>
    </row>
    <row r="16" spans="1:17" ht="18.75" customHeight="1" x14ac:dyDescent="0.3">
      <c r="A16" s="2">
        <f>A15</f>
        <v>11</v>
      </c>
      <c r="B16" s="3" t="s">
        <v>372</v>
      </c>
      <c r="C16" s="3" t="s">
        <v>80</v>
      </c>
      <c r="D16" s="3">
        <v>54</v>
      </c>
      <c r="E16" s="3" t="s">
        <v>70</v>
      </c>
      <c r="F16" s="3">
        <v>34</v>
      </c>
      <c r="G16" s="3" t="s">
        <v>15</v>
      </c>
      <c r="H16" s="5">
        <f>(D16/68)*3</f>
        <v>2.3823529411764706</v>
      </c>
      <c r="K16" s="2">
        <f>K15+1</f>
        <v>14</v>
      </c>
      <c r="L16" s="3" t="s">
        <v>130</v>
      </c>
      <c r="M16" s="3" t="s">
        <v>27</v>
      </c>
      <c r="N16" s="3">
        <v>103</v>
      </c>
      <c r="O16" s="3">
        <v>34</v>
      </c>
      <c r="P16" s="3" t="s">
        <v>18</v>
      </c>
      <c r="Q16" s="5">
        <f t="shared" si="0"/>
        <v>3.0294117647058822</v>
      </c>
    </row>
    <row r="17" spans="1:17" ht="18.75" customHeight="1" x14ac:dyDescent="0.3">
      <c r="A17" s="2">
        <f>A16</f>
        <v>11</v>
      </c>
      <c r="B17" s="3" t="s">
        <v>320</v>
      </c>
      <c r="C17" s="3" t="s">
        <v>157</v>
      </c>
      <c r="D17" s="3">
        <v>54</v>
      </c>
      <c r="E17" s="3" t="s">
        <v>70</v>
      </c>
      <c r="F17" s="3">
        <v>34</v>
      </c>
      <c r="G17" s="3" t="s">
        <v>15</v>
      </c>
      <c r="H17" s="5">
        <f>(D17/68)*3</f>
        <v>2.3823529411764706</v>
      </c>
      <c r="K17" s="2">
        <f>K16</f>
        <v>14</v>
      </c>
      <c r="L17" s="3" t="s">
        <v>130</v>
      </c>
      <c r="M17" s="3" t="s">
        <v>135</v>
      </c>
      <c r="N17" s="3">
        <v>103</v>
      </c>
      <c r="O17" s="3">
        <v>34</v>
      </c>
      <c r="P17" s="3" t="s">
        <v>18</v>
      </c>
      <c r="Q17" s="5">
        <f t="shared" si="0"/>
        <v>3.0294117647058822</v>
      </c>
    </row>
    <row r="18" spans="1:17" ht="18.75" customHeight="1" x14ac:dyDescent="0.3">
      <c r="A18" s="2">
        <f>A17</f>
        <v>11</v>
      </c>
      <c r="B18" s="3" t="s">
        <v>141</v>
      </c>
      <c r="C18" s="3" t="s">
        <v>306</v>
      </c>
      <c r="D18" s="3">
        <v>54</v>
      </c>
      <c r="E18" s="3" t="s">
        <v>70</v>
      </c>
      <c r="F18" s="3">
        <v>34</v>
      </c>
      <c r="G18" s="3" t="s">
        <v>15</v>
      </c>
      <c r="H18" s="5">
        <f>(D18/68)*3</f>
        <v>2.3823529411764706</v>
      </c>
    </row>
    <row r="22" spans="1:17" ht="18.75" customHeight="1" x14ac:dyDescent="0.3">
      <c r="A22" s="21" t="s">
        <v>321</v>
      </c>
      <c r="B22" s="20"/>
      <c r="C22" s="20"/>
      <c r="D22" s="20"/>
      <c r="E22" s="20"/>
      <c r="F22" s="20"/>
      <c r="G22" s="20"/>
      <c r="K22" s="21" t="s">
        <v>322</v>
      </c>
      <c r="L22" s="20"/>
      <c r="M22" s="20"/>
      <c r="N22" s="20"/>
      <c r="O22" s="20"/>
      <c r="P22" s="20"/>
      <c r="Q22" s="20"/>
    </row>
    <row r="23" spans="1:17" ht="18.75" customHeight="1" x14ac:dyDescent="0.3">
      <c r="A23" s="2" t="s">
        <v>4</v>
      </c>
      <c r="B23" s="2" t="s">
        <v>5</v>
      </c>
      <c r="C23" s="2" t="s">
        <v>6</v>
      </c>
      <c r="D23" s="2" t="s">
        <v>7</v>
      </c>
      <c r="E23" s="2" t="s">
        <v>62</v>
      </c>
      <c r="F23" s="2" t="s">
        <v>8</v>
      </c>
      <c r="G23" s="2" t="s">
        <v>9</v>
      </c>
      <c r="H23" s="2" t="s">
        <v>10</v>
      </c>
      <c r="K23" s="2" t="s">
        <v>4</v>
      </c>
      <c r="L23" s="2" t="s">
        <v>5</v>
      </c>
      <c r="M23" s="2" t="s">
        <v>6</v>
      </c>
      <c r="N23" s="2" t="s">
        <v>201</v>
      </c>
      <c r="O23" s="2" t="s">
        <v>8</v>
      </c>
      <c r="P23" s="2" t="s">
        <v>9</v>
      </c>
      <c r="Q23" s="2" t="s">
        <v>202</v>
      </c>
    </row>
    <row r="24" spans="1:17" ht="18.75" customHeight="1" x14ac:dyDescent="0.3">
      <c r="A24" s="2">
        <v>1</v>
      </c>
      <c r="B24" s="3" t="s">
        <v>372</v>
      </c>
      <c r="C24" s="3" t="s">
        <v>71</v>
      </c>
      <c r="D24" s="3">
        <v>63</v>
      </c>
      <c r="E24" s="3" t="s">
        <v>70</v>
      </c>
      <c r="F24" s="3">
        <v>34</v>
      </c>
      <c r="G24" s="3" t="s">
        <v>18</v>
      </c>
      <c r="H24" s="5">
        <f>(D24/68)*3</f>
        <v>2.7794117647058822</v>
      </c>
      <c r="K24" s="2">
        <v>1</v>
      </c>
      <c r="L24" s="3" t="s">
        <v>158</v>
      </c>
      <c r="M24" s="3" t="s">
        <v>71</v>
      </c>
      <c r="N24" s="3">
        <v>13</v>
      </c>
      <c r="O24" s="3">
        <v>34</v>
      </c>
      <c r="P24" s="3" t="s">
        <v>44</v>
      </c>
      <c r="Q24" s="5">
        <f t="shared" ref="Q24:Q37" si="1">N24/O24</f>
        <v>0.38235294117647056</v>
      </c>
    </row>
    <row r="25" spans="1:17" ht="18.75" customHeight="1" x14ac:dyDescent="0.3">
      <c r="A25" s="2">
        <f>A24+1</f>
        <v>2</v>
      </c>
      <c r="B25" s="3" t="s">
        <v>372</v>
      </c>
      <c r="C25" s="3" t="s">
        <v>157</v>
      </c>
      <c r="D25" s="3">
        <v>61</v>
      </c>
      <c r="E25" s="3" t="s">
        <v>70</v>
      </c>
      <c r="F25" s="3">
        <v>34</v>
      </c>
      <c r="G25" s="3" t="s">
        <v>18</v>
      </c>
      <c r="H25" s="5">
        <f>(D25/68)*3</f>
        <v>2.6911764705882355</v>
      </c>
      <c r="K25" s="2">
        <f>K24+1</f>
        <v>2</v>
      </c>
      <c r="L25" s="3" t="s">
        <v>130</v>
      </c>
      <c r="M25" s="3" t="s">
        <v>49</v>
      </c>
      <c r="N25" s="3">
        <v>18</v>
      </c>
      <c r="O25" s="3">
        <v>34</v>
      </c>
      <c r="P25" s="3" t="s">
        <v>18</v>
      </c>
      <c r="Q25" s="5">
        <f t="shared" si="1"/>
        <v>0.52941176470588236</v>
      </c>
    </row>
    <row r="26" spans="1:17" ht="18.75" customHeight="1" x14ac:dyDescent="0.3">
      <c r="A26" s="2">
        <f>A25+1</f>
        <v>3</v>
      </c>
      <c r="B26" s="3" t="s">
        <v>130</v>
      </c>
      <c r="C26" s="3" t="s">
        <v>35</v>
      </c>
      <c r="D26" s="3">
        <v>91</v>
      </c>
      <c r="E26" s="3">
        <v>102</v>
      </c>
      <c r="F26" s="3">
        <v>34</v>
      </c>
      <c r="G26" s="3" t="s">
        <v>18</v>
      </c>
      <c r="H26" s="5">
        <f>(D26/102)*3</f>
        <v>2.6764705882352944</v>
      </c>
      <c r="K26" s="2">
        <f>K25</f>
        <v>2</v>
      </c>
      <c r="L26" s="3" t="s">
        <v>372</v>
      </c>
      <c r="M26" s="3" t="s">
        <v>142</v>
      </c>
      <c r="N26" s="3">
        <v>18</v>
      </c>
      <c r="O26" s="3">
        <v>34</v>
      </c>
      <c r="P26" s="3" t="s">
        <v>18</v>
      </c>
      <c r="Q26" s="5">
        <f t="shared" si="1"/>
        <v>0.52941176470588236</v>
      </c>
    </row>
    <row r="27" spans="1:17" ht="18.75" customHeight="1" x14ac:dyDescent="0.3">
      <c r="A27" s="2">
        <f>A26+1</f>
        <v>4</v>
      </c>
      <c r="B27" s="3" t="s">
        <v>372</v>
      </c>
      <c r="C27" s="3" t="s">
        <v>77</v>
      </c>
      <c r="D27" s="3">
        <v>60</v>
      </c>
      <c r="E27" s="3" t="s">
        <v>70</v>
      </c>
      <c r="F27" s="3">
        <v>34</v>
      </c>
      <c r="G27" s="3" t="s">
        <v>18</v>
      </c>
      <c r="H27" s="5">
        <f>(D27/68)*3</f>
        <v>2.6470588235294117</v>
      </c>
      <c r="K27" s="2">
        <f>K26</f>
        <v>2</v>
      </c>
      <c r="L27" s="3" t="s">
        <v>158</v>
      </c>
      <c r="M27" s="3" t="s">
        <v>116</v>
      </c>
      <c r="N27" s="3">
        <v>18</v>
      </c>
      <c r="O27" s="3">
        <v>34</v>
      </c>
      <c r="P27" s="3" t="s">
        <v>109</v>
      </c>
      <c r="Q27" s="5">
        <f t="shared" si="1"/>
        <v>0.52941176470588236</v>
      </c>
    </row>
    <row r="28" spans="1:17" ht="18.75" customHeight="1" x14ac:dyDescent="0.3">
      <c r="A28" s="2">
        <f>A27</f>
        <v>4</v>
      </c>
      <c r="B28" s="3" t="s">
        <v>130</v>
      </c>
      <c r="C28" s="3" t="s">
        <v>144</v>
      </c>
      <c r="D28" s="3">
        <v>60</v>
      </c>
      <c r="E28" s="3" t="s">
        <v>70</v>
      </c>
      <c r="F28" s="3">
        <v>34</v>
      </c>
      <c r="G28" s="3" t="s">
        <v>18</v>
      </c>
      <c r="H28" s="5">
        <f>(D28/68)*3</f>
        <v>2.6470588235294117</v>
      </c>
      <c r="K28" s="2">
        <f>K27+3</f>
        <v>5</v>
      </c>
      <c r="L28" s="3" t="s">
        <v>372</v>
      </c>
      <c r="M28" s="3" t="s">
        <v>26</v>
      </c>
      <c r="N28" s="3">
        <v>19</v>
      </c>
      <c r="O28" s="3">
        <v>34</v>
      </c>
      <c r="P28" s="3" t="s">
        <v>18</v>
      </c>
      <c r="Q28" s="5">
        <f t="shared" si="1"/>
        <v>0.55882352941176472</v>
      </c>
    </row>
    <row r="29" spans="1:17" ht="18.75" customHeight="1" x14ac:dyDescent="0.3">
      <c r="A29" s="2">
        <f>A28</f>
        <v>4</v>
      </c>
      <c r="B29" s="3" t="s">
        <v>316</v>
      </c>
      <c r="C29" s="3" t="s">
        <v>86</v>
      </c>
      <c r="D29" s="3">
        <v>60</v>
      </c>
      <c r="E29" s="3" t="s">
        <v>70</v>
      </c>
      <c r="F29" s="3">
        <v>34</v>
      </c>
      <c r="G29" s="3" t="s">
        <v>18</v>
      </c>
      <c r="H29" s="5">
        <f>(D29/68)*3</f>
        <v>2.6470588235294117</v>
      </c>
      <c r="K29" s="2">
        <f>K28</f>
        <v>5</v>
      </c>
      <c r="L29" s="3" t="s">
        <v>372</v>
      </c>
      <c r="M29" s="3" t="s">
        <v>319</v>
      </c>
      <c r="N29" s="3">
        <v>19</v>
      </c>
      <c r="O29" s="3">
        <v>34</v>
      </c>
      <c r="P29" s="3" t="s">
        <v>18</v>
      </c>
      <c r="Q29" s="5">
        <f t="shared" si="1"/>
        <v>0.55882352941176472</v>
      </c>
    </row>
    <row r="30" spans="1:17" ht="18.75" customHeight="1" x14ac:dyDescent="0.3">
      <c r="A30" s="2">
        <f>A29</f>
        <v>4</v>
      </c>
      <c r="B30" s="3" t="s">
        <v>372</v>
      </c>
      <c r="C30" s="3" t="s">
        <v>142</v>
      </c>
      <c r="D30" s="3">
        <v>60</v>
      </c>
      <c r="E30" s="3" t="s">
        <v>70</v>
      </c>
      <c r="F30" s="3">
        <v>34</v>
      </c>
      <c r="G30" s="3" t="s">
        <v>18</v>
      </c>
      <c r="H30" s="5">
        <f>(D30/68)*3</f>
        <v>2.6470588235294117</v>
      </c>
      <c r="K30" s="2">
        <f>K31</f>
        <v>5</v>
      </c>
      <c r="L30" s="3" t="s">
        <v>141</v>
      </c>
      <c r="M30" s="3" t="s">
        <v>78</v>
      </c>
      <c r="N30" s="3">
        <v>19</v>
      </c>
      <c r="O30" s="3">
        <v>34</v>
      </c>
      <c r="P30" s="3" t="s">
        <v>15</v>
      </c>
      <c r="Q30" s="5">
        <f t="shared" si="1"/>
        <v>0.55882352941176472</v>
      </c>
    </row>
    <row r="31" spans="1:17" ht="18.75" customHeight="1" x14ac:dyDescent="0.3">
      <c r="A31" s="2">
        <f>A30+4</f>
        <v>8</v>
      </c>
      <c r="B31" s="3" t="s">
        <v>372</v>
      </c>
      <c r="C31" s="3" t="s">
        <v>129</v>
      </c>
      <c r="D31" s="3">
        <v>89</v>
      </c>
      <c r="E31" s="3">
        <v>102</v>
      </c>
      <c r="F31" s="3">
        <v>34</v>
      </c>
      <c r="G31" s="3" t="s">
        <v>18</v>
      </c>
      <c r="H31" s="5">
        <f>D31/F31</f>
        <v>2.6176470588235294</v>
      </c>
      <c r="K31" s="2">
        <f>K28</f>
        <v>5</v>
      </c>
      <c r="L31" s="3" t="s">
        <v>141</v>
      </c>
      <c r="M31" s="3" t="s">
        <v>154</v>
      </c>
      <c r="N31" s="3">
        <v>19</v>
      </c>
      <c r="O31" s="3">
        <v>34</v>
      </c>
      <c r="P31" s="3" t="s">
        <v>44</v>
      </c>
      <c r="Q31" s="5">
        <f t="shared" si="1"/>
        <v>0.55882352941176472</v>
      </c>
    </row>
    <row r="32" spans="1:17" ht="18.75" customHeight="1" x14ac:dyDescent="0.3">
      <c r="A32" s="2">
        <f>A33</f>
        <v>9</v>
      </c>
      <c r="B32" s="3" t="s">
        <v>130</v>
      </c>
      <c r="C32" s="3" t="s">
        <v>296</v>
      </c>
      <c r="D32" s="3">
        <v>59</v>
      </c>
      <c r="E32" s="3" t="s">
        <v>70</v>
      </c>
      <c r="F32" s="3">
        <v>34</v>
      </c>
      <c r="G32" s="3" t="s">
        <v>18</v>
      </c>
      <c r="H32" s="5">
        <f>(D32/68)*3</f>
        <v>2.6029411764705883</v>
      </c>
      <c r="K32" s="2">
        <f>K30+4</f>
        <v>9</v>
      </c>
      <c r="L32" s="3" t="s">
        <v>130</v>
      </c>
      <c r="M32" s="3" t="s">
        <v>134</v>
      </c>
      <c r="N32" s="3">
        <v>20</v>
      </c>
      <c r="O32" s="3">
        <v>34</v>
      </c>
      <c r="P32" s="3" t="s">
        <v>18</v>
      </c>
      <c r="Q32" s="5">
        <f t="shared" si="1"/>
        <v>0.58823529411764708</v>
      </c>
    </row>
    <row r="33" spans="1:17" ht="18.75" customHeight="1" x14ac:dyDescent="0.3">
      <c r="A33" s="2">
        <f>A31+1</f>
        <v>9</v>
      </c>
      <c r="B33" s="3" t="s">
        <v>130</v>
      </c>
      <c r="C33" s="3" t="s">
        <v>82</v>
      </c>
      <c r="D33" s="3">
        <v>59</v>
      </c>
      <c r="E33" s="3" t="s">
        <v>70</v>
      </c>
      <c r="F33" s="3">
        <v>34</v>
      </c>
      <c r="G33" s="3" t="s">
        <v>18</v>
      </c>
      <c r="H33" s="5">
        <f>(D33/68)*3</f>
        <v>2.6029411764705883</v>
      </c>
      <c r="K33" s="2">
        <f>K32</f>
        <v>9</v>
      </c>
      <c r="L33" s="3" t="s">
        <v>372</v>
      </c>
      <c r="M33" s="3" t="s">
        <v>71</v>
      </c>
      <c r="N33" s="3">
        <v>20</v>
      </c>
      <c r="O33" s="3">
        <v>34</v>
      </c>
      <c r="P33" s="3" t="s">
        <v>18</v>
      </c>
      <c r="Q33" s="5">
        <f t="shared" si="1"/>
        <v>0.58823529411764708</v>
      </c>
    </row>
    <row r="34" spans="1:17" ht="18.75" customHeight="1" x14ac:dyDescent="0.3">
      <c r="A34" s="2">
        <f>A31+1</f>
        <v>9</v>
      </c>
      <c r="B34" s="3" t="s">
        <v>372</v>
      </c>
      <c r="C34" s="3" t="s">
        <v>270</v>
      </c>
      <c r="D34" s="3">
        <v>52</v>
      </c>
      <c r="E34" s="3" t="s">
        <v>66</v>
      </c>
      <c r="F34" s="3">
        <v>30</v>
      </c>
      <c r="G34" s="3" t="s">
        <v>18</v>
      </c>
      <c r="H34" s="5">
        <f>(D34/60)*3</f>
        <v>2.6</v>
      </c>
      <c r="K34" s="2">
        <f>K33</f>
        <v>9</v>
      </c>
      <c r="L34" s="3" t="s">
        <v>372</v>
      </c>
      <c r="M34" s="3" t="s">
        <v>116</v>
      </c>
      <c r="N34" s="3">
        <v>20</v>
      </c>
      <c r="O34" s="3">
        <v>34</v>
      </c>
      <c r="P34" s="3" t="s">
        <v>15</v>
      </c>
      <c r="Q34" s="5">
        <f t="shared" si="1"/>
        <v>0.58823529411764708</v>
      </c>
    </row>
    <row r="35" spans="1:17" ht="18.75" customHeight="1" x14ac:dyDescent="0.3">
      <c r="A35" s="2">
        <f>A32+2</f>
        <v>11</v>
      </c>
      <c r="B35" s="3" t="s">
        <v>130</v>
      </c>
      <c r="C35" s="3" t="s">
        <v>23</v>
      </c>
      <c r="D35" s="3">
        <v>88</v>
      </c>
      <c r="E35" s="3">
        <v>102</v>
      </c>
      <c r="F35" s="3">
        <v>34</v>
      </c>
      <c r="G35" s="3" t="s">
        <v>18</v>
      </c>
      <c r="H35" s="5">
        <f>D35/F35</f>
        <v>2.5882352941176472</v>
      </c>
      <c r="K35" s="2">
        <f>K32</f>
        <v>9</v>
      </c>
      <c r="L35" s="3" t="s">
        <v>372</v>
      </c>
      <c r="M35" s="3" t="s">
        <v>20</v>
      </c>
      <c r="N35" s="3">
        <v>20</v>
      </c>
      <c r="O35" s="3">
        <v>34</v>
      </c>
      <c r="P35" s="3" t="s">
        <v>15</v>
      </c>
      <c r="Q35" s="5">
        <f t="shared" si="1"/>
        <v>0.58823529411764708</v>
      </c>
    </row>
    <row r="36" spans="1:17" ht="18.75" customHeight="1" x14ac:dyDescent="0.3">
      <c r="A36" s="2">
        <f>A35</f>
        <v>11</v>
      </c>
      <c r="B36" s="3" t="s">
        <v>372</v>
      </c>
      <c r="C36" s="3" t="s">
        <v>32</v>
      </c>
      <c r="D36" s="3">
        <v>88</v>
      </c>
      <c r="E36" s="3">
        <v>102</v>
      </c>
      <c r="F36" s="3">
        <v>34</v>
      </c>
      <c r="G36" s="3" t="s">
        <v>18</v>
      </c>
      <c r="H36" s="5">
        <f>D36/F36</f>
        <v>2.5882352941176472</v>
      </c>
      <c r="K36" s="2">
        <f>K35+4</f>
        <v>13</v>
      </c>
      <c r="L36" s="3" t="s">
        <v>130</v>
      </c>
      <c r="M36" s="3" t="s">
        <v>296</v>
      </c>
      <c r="N36" s="3">
        <v>21</v>
      </c>
      <c r="O36" s="3">
        <v>34</v>
      </c>
      <c r="P36" s="3" t="s">
        <v>18</v>
      </c>
      <c r="Q36" s="5">
        <f t="shared" si="1"/>
        <v>0.61764705882352944</v>
      </c>
    </row>
    <row r="37" spans="1:17" ht="18.75" customHeight="1" x14ac:dyDescent="0.3">
      <c r="A37" s="2">
        <f>A36+2</f>
        <v>13</v>
      </c>
      <c r="B37" s="3" t="s">
        <v>130</v>
      </c>
      <c r="C37" s="3" t="s">
        <v>49</v>
      </c>
      <c r="D37" s="3">
        <v>87</v>
      </c>
      <c r="E37" s="3">
        <v>102</v>
      </c>
      <c r="F37" s="3">
        <v>34</v>
      </c>
      <c r="G37" s="3" t="s">
        <v>18</v>
      </c>
      <c r="H37" s="5">
        <f>D37/F37</f>
        <v>2.5588235294117645</v>
      </c>
      <c r="K37" s="2">
        <f>K36</f>
        <v>13</v>
      </c>
      <c r="L37" s="3" t="s">
        <v>130</v>
      </c>
      <c r="M37" s="3" t="s">
        <v>143</v>
      </c>
      <c r="N37" s="3">
        <v>21</v>
      </c>
      <c r="O37" s="3">
        <v>34</v>
      </c>
      <c r="P37" s="3" t="s">
        <v>18</v>
      </c>
      <c r="Q37" s="5">
        <f t="shared" si="1"/>
        <v>0.61764705882352944</v>
      </c>
    </row>
    <row r="38" spans="1:17" ht="18.75" customHeight="1" x14ac:dyDescent="0.3">
      <c r="A38" s="2">
        <f>A37</f>
        <v>13</v>
      </c>
      <c r="B38" s="3" t="s">
        <v>130</v>
      </c>
      <c r="C38" s="3" t="s">
        <v>154</v>
      </c>
      <c r="D38" s="3">
        <v>58</v>
      </c>
      <c r="E38" s="3" t="s">
        <v>70</v>
      </c>
      <c r="F38" s="3">
        <v>34</v>
      </c>
      <c r="G38" s="3" t="s">
        <v>18</v>
      </c>
      <c r="H38" s="5">
        <f>(D38/68)*3</f>
        <v>2.5588235294117645</v>
      </c>
      <c r="K38" s="2">
        <f>K37</f>
        <v>13</v>
      </c>
      <c r="L38" s="3" t="s">
        <v>141</v>
      </c>
      <c r="M38" s="3" t="s">
        <v>80</v>
      </c>
      <c r="N38" s="3">
        <v>21</v>
      </c>
      <c r="O38" s="3">
        <v>34</v>
      </c>
      <c r="P38" s="3" t="s">
        <v>18</v>
      </c>
      <c r="Q38" s="5">
        <f>N38/O39</f>
        <v>0.61764705882352944</v>
      </c>
    </row>
    <row r="39" spans="1:17" ht="18.75" customHeight="1" x14ac:dyDescent="0.3">
      <c r="A39" s="2">
        <f>A38</f>
        <v>13</v>
      </c>
      <c r="B39" s="3" t="s">
        <v>372</v>
      </c>
      <c r="C39" s="3" t="s">
        <v>306</v>
      </c>
      <c r="D39" s="3">
        <v>58</v>
      </c>
      <c r="E39" s="3" t="s">
        <v>70</v>
      </c>
      <c r="F39" s="3">
        <v>34</v>
      </c>
      <c r="G39" s="3" t="s">
        <v>18</v>
      </c>
      <c r="H39" s="5">
        <f>(D39/68)*3</f>
        <v>2.5588235294117645</v>
      </c>
      <c r="K39" s="2">
        <f>K38</f>
        <v>13</v>
      </c>
      <c r="L39" s="3" t="s">
        <v>130</v>
      </c>
      <c r="M39" s="3" t="s">
        <v>35</v>
      </c>
      <c r="N39" s="3">
        <v>21</v>
      </c>
      <c r="O39" s="3">
        <v>34</v>
      </c>
      <c r="P39" s="3" t="s">
        <v>18</v>
      </c>
      <c r="Q39" s="5">
        <f>N39/O40</f>
        <v>0.61764705882352944</v>
      </c>
    </row>
    <row r="40" spans="1:17" ht="18.75" customHeight="1" x14ac:dyDescent="0.3">
      <c r="A40" s="2">
        <f>A39</f>
        <v>13</v>
      </c>
      <c r="B40" s="3" t="s">
        <v>372</v>
      </c>
      <c r="C40" s="3" t="s">
        <v>319</v>
      </c>
      <c r="D40" s="3">
        <v>58</v>
      </c>
      <c r="E40" s="3" t="s">
        <v>70</v>
      </c>
      <c r="F40" s="3">
        <v>34</v>
      </c>
      <c r="G40" s="3" t="s">
        <v>18</v>
      </c>
      <c r="H40" s="5">
        <f>(D40/68)*3</f>
        <v>2.5588235294117645</v>
      </c>
      <c r="K40" s="2">
        <f>K38</f>
        <v>13</v>
      </c>
      <c r="L40" s="3" t="s">
        <v>141</v>
      </c>
      <c r="M40" s="3" t="s">
        <v>319</v>
      </c>
      <c r="N40" s="3">
        <v>21</v>
      </c>
      <c r="O40" s="3">
        <v>34</v>
      </c>
      <c r="P40" s="3" t="s">
        <v>15</v>
      </c>
      <c r="Q40" s="5">
        <f>N40/O40</f>
        <v>0.61764705882352944</v>
      </c>
    </row>
    <row r="41" spans="1:17" ht="18.75" customHeight="1" x14ac:dyDescent="0.3">
      <c r="A41" s="2">
        <f>A39</f>
        <v>13</v>
      </c>
      <c r="B41" s="3" t="s">
        <v>141</v>
      </c>
      <c r="C41" s="3" t="s">
        <v>142</v>
      </c>
      <c r="D41" s="3">
        <v>58</v>
      </c>
      <c r="E41" s="3" t="s">
        <v>70</v>
      </c>
      <c r="F41" s="3">
        <v>34</v>
      </c>
      <c r="G41" s="3" t="s">
        <v>15</v>
      </c>
      <c r="H41" s="5">
        <f>(D41/68)*3</f>
        <v>2.5588235294117645</v>
      </c>
      <c r="K41" s="2">
        <f>K36</f>
        <v>13</v>
      </c>
      <c r="L41" s="3" t="s">
        <v>372</v>
      </c>
      <c r="M41" s="3" t="s">
        <v>30</v>
      </c>
      <c r="N41" s="3">
        <v>21</v>
      </c>
      <c r="O41" s="3">
        <v>34</v>
      </c>
      <c r="P41" s="3" t="s">
        <v>15</v>
      </c>
      <c r="Q41" s="5">
        <f>N41/O41</f>
        <v>0.61764705882352944</v>
      </c>
    </row>
    <row r="42" spans="1:17" ht="18.75" customHeight="1" x14ac:dyDescent="0.3">
      <c r="K42" s="2">
        <f>K41</f>
        <v>13</v>
      </c>
      <c r="L42" s="3" t="s">
        <v>372</v>
      </c>
      <c r="M42" s="3" t="s">
        <v>84</v>
      </c>
      <c r="N42" s="3">
        <v>21</v>
      </c>
      <c r="O42" s="3">
        <v>34</v>
      </c>
      <c r="P42" s="3" t="s">
        <v>15</v>
      </c>
      <c r="Q42" s="5">
        <f>N42/O42</f>
        <v>0.61764705882352944</v>
      </c>
    </row>
  </sheetData>
  <mergeCells count="4">
    <mergeCell ref="K22:Q22"/>
    <mergeCell ref="K1:Q1"/>
    <mergeCell ref="A22:G22"/>
    <mergeCell ref="A1:H1"/>
  </mergeCells>
  <conditionalFormatting sqref="H3:H18"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4:H40"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4:H4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1:H40"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4:Q42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29"/>
  <sheetViews>
    <sheetView workbookViewId="0">
      <selection activeCell="J18" sqref="J18:P29"/>
    </sheetView>
  </sheetViews>
  <sheetFormatPr baseColWidth="10" defaultRowHeight="15" x14ac:dyDescent="0.25"/>
  <cols>
    <col min="1" max="1" width="11.28515625" customWidth="1"/>
    <col min="2" max="2" width="23" bestFit="1" customWidth="1"/>
    <col min="3" max="3" width="19.85546875" customWidth="1"/>
    <col min="4" max="4" width="16.7109375" customWidth="1"/>
    <col min="5" max="5" width="23.42578125" bestFit="1" customWidth="1"/>
    <col min="6" max="6" width="18.140625" customWidth="1"/>
    <col min="7" max="7" width="28.42578125" bestFit="1" customWidth="1"/>
    <col min="10" max="10" width="12.42578125" customWidth="1"/>
    <col min="11" max="11" width="23" bestFit="1" customWidth="1"/>
    <col min="12" max="12" width="15.5703125" customWidth="1"/>
    <col min="13" max="13" width="19" bestFit="1" customWidth="1"/>
    <col min="14" max="14" width="23.28515625" customWidth="1"/>
    <col min="15" max="15" width="16.7109375" customWidth="1"/>
    <col min="16" max="16" width="32.140625" bestFit="1" customWidth="1"/>
  </cols>
  <sheetData>
    <row r="1" spans="1:17" ht="18.75" customHeight="1" x14ac:dyDescent="0.3">
      <c r="A1" s="21" t="s">
        <v>282</v>
      </c>
      <c r="B1" s="20"/>
      <c r="C1" s="20"/>
      <c r="D1" s="20"/>
      <c r="E1" s="20"/>
      <c r="F1" s="20"/>
      <c r="G1" s="20"/>
      <c r="J1" s="21" t="s">
        <v>283</v>
      </c>
      <c r="K1" s="20"/>
      <c r="L1" s="20"/>
      <c r="M1" s="20"/>
      <c r="N1" s="20"/>
      <c r="O1" s="20"/>
      <c r="P1" s="20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J2" s="2" t="s">
        <v>4</v>
      </c>
      <c r="K2" s="2" t="s">
        <v>5</v>
      </c>
      <c r="L2" s="2" t="s">
        <v>6</v>
      </c>
      <c r="M2" s="2" t="s">
        <v>11</v>
      </c>
      <c r="N2" s="2" t="s">
        <v>8</v>
      </c>
      <c r="O2" s="2" t="s">
        <v>9</v>
      </c>
      <c r="P2" s="2" t="s">
        <v>12</v>
      </c>
    </row>
    <row r="3" spans="1:17" ht="18.75" customHeight="1" x14ac:dyDescent="0.3">
      <c r="A3" s="2">
        <f>1</f>
        <v>1</v>
      </c>
      <c r="B3" s="3" t="s">
        <v>127</v>
      </c>
      <c r="C3" s="3" t="s">
        <v>27</v>
      </c>
      <c r="D3" s="3">
        <v>77</v>
      </c>
      <c r="E3" s="3">
        <v>30</v>
      </c>
      <c r="F3" s="3" t="s">
        <v>15</v>
      </c>
      <c r="G3" s="5">
        <f t="shared" ref="G3:G15" si="0">D3/E3</f>
        <v>2.5666666666666669</v>
      </c>
      <c r="J3" s="2">
        <v>1</v>
      </c>
      <c r="K3" s="3" t="s">
        <v>127</v>
      </c>
      <c r="L3" s="3" t="s">
        <v>14</v>
      </c>
      <c r="M3" s="3">
        <v>103</v>
      </c>
      <c r="N3" s="3">
        <v>34</v>
      </c>
      <c r="O3" s="3" t="s">
        <v>18</v>
      </c>
      <c r="P3" s="5">
        <f t="shared" ref="P3:P12" si="1">M3/N3</f>
        <v>3.0294117647058822</v>
      </c>
    </row>
    <row r="4" spans="1:17" ht="18.75" customHeight="1" x14ac:dyDescent="0.3">
      <c r="A4" s="2">
        <f>A3+1</f>
        <v>2</v>
      </c>
      <c r="B4" s="3" t="s">
        <v>128</v>
      </c>
      <c r="C4" s="3" t="s">
        <v>30</v>
      </c>
      <c r="D4" s="3">
        <v>86</v>
      </c>
      <c r="E4" s="3">
        <v>34</v>
      </c>
      <c r="F4" s="3" t="s">
        <v>15</v>
      </c>
      <c r="G4" s="5">
        <f t="shared" si="0"/>
        <v>2.5294117647058822</v>
      </c>
      <c r="J4" s="2">
        <f>J3+1</f>
        <v>2</v>
      </c>
      <c r="K4" s="3" t="s">
        <v>132</v>
      </c>
      <c r="L4" s="3" t="s">
        <v>35</v>
      </c>
      <c r="M4" s="3">
        <v>96</v>
      </c>
      <c r="N4" s="3">
        <v>34</v>
      </c>
      <c r="O4" s="3" t="s">
        <v>18</v>
      </c>
      <c r="P4" s="5">
        <f t="shared" si="1"/>
        <v>2.8235294117647061</v>
      </c>
    </row>
    <row r="5" spans="1:17" ht="18.75" customHeight="1" x14ac:dyDescent="0.3">
      <c r="A5" s="2">
        <f>A4+1</f>
        <v>3</v>
      </c>
      <c r="B5" s="3" t="s">
        <v>131</v>
      </c>
      <c r="C5" s="3" t="s">
        <v>54</v>
      </c>
      <c r="D5" s="3">
        <v>85</v>
      </c>
      <c r="E5" s="3">
        <v>34</v>
      </c>
      <c r="F5" s="3" t="s">
        <v>15</v>
      </c>
      <c r="G5" s="5">
        <f t="shared" si="0"/>
        <v>2.5</v>
      </c>
      <c r="J5" s="2">
        <f>J4+1</f>
        <v>3</v>
      </c>
      <c r="K5" s="3" t="s">
        <v>132</v>
      </c>
      <c r="L5" s="3" t="s">
        <v>17</v>
      </c>
      <c r="M5" s="3">
        <v>89</v>
      </c>
      <c r="N5" s="3">
        <v>34</v>
      </c>
      <c r="O5" s="3" t="s">
        <v>15</v>
      </c>
      <c r="P5" s="5">
        <f t="shared" si="1"/>
        <v>2.6176470588235294</v>
      </c>
    </row>
    <row r="6" spans="1:17" ht="18.75" customHeight="1" x14ac:dyDescent="0.3">
      <c r="A6" s="2">
        <f>A5</f>
        <v>3</v>
      </c>
      <c r="B6" s="3" t="s">
        <v>132</v>
      </c>
      <c r="C6" s="3" t="s">
        <v>26</v>
      </c>
      <c r="D6" s="3">
        <v>85</v>
      </c>
      <c r="E6" s="3">
        <v>34</v>
      </c>
      <c r="F6" s="3" t="s">
        <v>15</v>
      </c>
      <c r="G6" s="5">
        <f t="shared" si="0"/>
        <v>2.5</v>
      </c>
      <c r="J6" s="2">
        <f>J5+1</f>
        <v>4</v>
      </c>
      <c r="K6" s="3" t="s">
        <v>127</v>
      </c>
      <c r="L6" s="3" t="s">
        <v>20</v>
      </c>
      <c r="M6" s="3">
        <v>78</v>
      </c>
      <c r="N6" s="3">
        <v>30</v>
      </c>
      <c r="O6" s="3" t="s">
        <v>18</v>
      </c>
      <c r="P6" s="5">
        <f t="shared" si="1"/>
        <v>2.6</v>
      </c>
    </row>
    <row r="7" spans="1:17" ht="18.75" customHeight="1" x14ac:dyDescent="0.3">
      <c r="A7" s="2">
        <f>A6</f>
        <v>3</v>
      </c>
      <c r="B7" s="3" t="s">
        <v>131</v>
      </c>
      <c r="C7" s="3" t="s">
        <v>14</v>
      </c>
      <c r="D7" s="3">
        <v>85</v>
      </c>
      <c r="E7" s="3">
        <v>34</v>
      </c>
      <c r="F7" s="3" t="s">
        <v>15</v>
      </c>
      <c r="G7" s="5">
        <f t="shared" si="0"/>
        <v>2.5</v>
      </c>
      <c r="J7" s="2">
        <f>J6+1</f>
        <v>5</v>
      </c>
      <c r="K7" s="3" t="s">
        <v>127</v>
      </c>
      <c r="L7" s="3" t="s">
        <v>30</v>
      </c>
      <c r="M7" s="3">
        <v>88</v>
      </c>
      <c r="N7" s="3">
        <v>34</v>
      </c>
      <c r="O7" s="3" t="s">
        <v>18</v>
      </c>
      <c r="P7" s="5">
        <f t="shared" si="1"/>
        <v>2.5882352941176472</v>
      </c>
    </row>
    <row r="8" spans="1:17" ht="18.75" customHeight="1" x14ac:dyDescent="0.3">
      <c r="A8" s="2">
        <f>A7+3</f>
        <v>6</v>
      </c>
      <c r="B8" s="3" t="s">
        <v>131</v>
      </c>
      <c r="C8" s="3" t="s">
        <v>23</v>
      </c>
      <c r="D8" s="3">
        <v>82</v>
      </c>
      <c r="E8" s="3">
        <v>34</v>
      </c>
      <c r="F8" s="3" t="s">
        <v>15</v>
      </c>
      <c r="G8" s="5">
        <f t="shared" si="0"/>
        <v>2.4117647058823528</v>
      </c>
      <c r="J8" s="2">
        <f>J7</f>
        <v>5</v>
      </c>
      <c r="K8" s="3" t="s">
        <v>132</v>
      </c>
      <c r="L8" s="3" t="s">
        <v>135</v>
      </c>
      <c r="M8" s="3">
        <v>88</v>
      </c>
      <c r="N8" s="3">
        <v>34</v>
      </c>
      <c r="O8" s="3" t="s">
        <v>18</v>
      </c>
      <c r="P8" s="5">
        <f t="shared" si="1"/>
        <v>2.5882352941176472</v>
      </c>
    </row>
    <row r="9" spans="1:17" ht="18.75" customHeight="1" x14ac:dyDescent="0.3">
      <c r="A9" s="2">
        <f>A8</f>
        <v>6</v>
      </c>
      <c r="B9" s="3" t="s">
        <v>132</v>
      </c>
      <c r="C9" s="3" t="s">
        <v>17</v>
      </c>
      <c r="D9" s="3">
        <v>82</v>
      </c>
      <c r="E9" s="3">
        <v>34</v>
      </c>
      <c r="F9" s="3" t="s">
        <v>15</v>
      </c>
      <c r="G9" s="5">
        <f t="shared" si="0"/>
        <v>2.4117647058823528</v>
      </c>
      <c r="J9" s="2">
        <f>J8+2</f>
        <v>7</v>
      </c>
      <c r="K9" s="3" t="s">
        <v>127</v>
      </c>
      <c r="L9" s="3" t="s">
        <v>27</v>
      </c>
      <c r="M9" s="3">
        <v>77</v>
      </c>
      <c r="N9" s="3">
        <v>30</v>
      </c>
      <c r="O9" s="3" t="s">
        <v>15</v>
      </c>
      <c r="P9" s="5">
        <f t="shared" si="1"/>
        <v>2.5666666666666669</v>
      </c>
    </row>
    <row r="10" spans="1:17" ht="18.75" customHeight="1" x14ac:dyDescent="0.3">
      <c r="A10" s="2">
        <f>A9+2</f>
        <v>8</v>
      </c>
      <c r="B10" s="3" t="s">
        <v>127</v>
      </c>
      <c r="C10" s="3" t="s">
        <v>29</v>
      </c>
      <c r="D10" s="3">
        <v>81</v>
      </c>
      <c r="E10" s="3">
        <v>34</v>
      </c>
      <c r="F10" s="3" t="s">
        <v>15</v>
      </c>
      <c r="G10" s="5">
        <f t="shared" si="0"/>
        <v>2.3823529411764706</v>
      </c>
      <c r="J10" s="2">
        <f>J9+1</f>
        <v>8</v>
      </c>
      <c r="K10" s="3" t="s">
        <v>131</v>
      </c>
      <c r="L10" s="3" t="s">
        <v>26</v>
      </c>
      <c r="M10" s="3">
        <v>86</v>
      </c>
      <c r="N10" s="3">
        <v>34</v>
      </c>
      <c r="O10" s="3" t="s">
        <v>18</v>
      </c>
      <c r="P10" s="5">
        <f t="shared" si="1"/>
        <v>2.5294117647058822</v>
      </c>
    </row>
    <row r="11" spans="1:17" ht="18.75" customHeight="1" x14ac:dyDescent="0.3">
      <c r="A11" s="2">
        <f>A10+1</f>
        <v>9</v>
      </c>
      <c r="B11" s="3" t="s">
        <v>323</v>
      </c>
      <c r="C11" s="3" t="s">
        <v>20</v>
      </c>
      <c r="D11" s="3">
        <v>71</v>
      </c>
      <c r="E11" s="3">
        <v>30</v>
      </c>
      <c r="F11" s="3" t="s">
        <v>44</v>
      </c>
      <c r="G11" s="5">
        <f t="shared" si="0"/>
        <v>2.3666666666666667</v>
      </c>
      <c r="J11" s="2">
        <f>J10</f>
        <v>8</v>
      </c>
      <c r="K11" s="3" t="s">
        <v>127</v>
      </c>
      <c r="L11" s="3" t="s">
        <v>23</v>
      </c>
      <c r="M11" s="3">
        <v>86</v>
      </c>
      <c r="N11" s="3">
        <v>34</v>
      </c>
      <c r="O11" s="3" t="s">
        <v>18</v>
      </c>
      <c r="P11" s="5">
        <f t="shared" si="1"/>
        <v>2.5294117647058822</v>
      </c>
    </row>
    <row r="12" spans="1:17" ht="18.75" customHeight="1" x14ac:dyDescent="0.3">
      <c r="A12" s="2">
        <f>A11+1</f>
        <v>10</v>
      </c>
      <c r="B12" s="3" t="s">
        <v>131</v>
      </c>
      <c r="C12" s="3" t="s">
        <v>32</v>
      </c>
      <c r="D12" s="3">
        <v>80</v>
      </c>
      <c r="E12" s="3">
        <v>34</v>
      </c>
      <c r="F12" s="3" t="s">
        <v>15</v>
      </c>
      <c r="G12" s="5">
        <f t="shared" si="0"/>
        <v>2.3529411764705883</v>
      </c>
      <c r="J12" s="2">
        <f>J11+2</f>
        <v>10</v>
      </c>
      <c r="K12" s="3" t="s">
        <v>131</v>
      </c>
      <c r="L12" s="3" t="s">
        <v>50</v>
      </c>
      <c r="M12" s="3">
        <v>85</v>
      </c>
      <c r="N12" s="3">
        <v>34</v>
      </c>
      <c r="O12" s="3" t="s">
        <v>18</v>
      </c>
      <c r="P12" s="5">
        <f t="shared" si="1"/>
        <v>2.5</v>
      </c>
    </row>
    <row r="13" spans="1:17" ht="18.75" customHeight="1" x14ac:dyDescent="0.3">
      <c r="A13" s="2">
        <f>A12</f>
        <v>10</v>
      </c>
      <c r="B13" s="3" t="s">
        <v>127</v>
      </c>
      <c r="C13" s="3" t="s">
        <v>35</v>
      </c>
      <c r="D13" s="3">
        <v>80</v>
      </c>
      <c r="E13" s="3">
        <v>34</v>
      </c>
      <c r="F13" s="3" t="s">
        <v>15</v>
      </c>
      <c r="G13" s="5">
        <f t="shared" si="0"/>
        <v>2.3529411764705883</v>
      </c>
    </row>
    <row r="14" spans="1:17" ht="18.75" customHeight="1" x14ac:dyDescent="0.3">
      <c r="A14" s="2">
        <f>A13</f>
        <v>10</v>
      </c>
      <c r="B14" s="3" t="s">
        <v>127</v>
      </c>
      <c r="C14" s="3" t="s">
        <v>135</v>
      </c>
      <c r="D14" s="3">
        <v>80</v>
      </c>
      <c r="E14" s="3">
        <v>34</v>
      </c>
      <c r="F14" s="3" t="s">
        <v>15</v>
      </c>
      <c r="G14" s="5">
        <f t="shared" si="0"/>
        <v>2.3529411764705883</v>
      </c>
    </row>
    <row r="15" spans="1:17" ht="18.75" customHeight="1" x14ac:dyDescent="0.3">
      <c r="A15" s="2">
        <f>A14</f>
        <v>10</v>
      </c>
      <c r="B15" s="3" t="s">
        <v>127</v>
      </c>
      <c r="C15" s="3" t="s">
        <v>17</v>
      </c>
      <c r="D15" s="3">
        <v>80</v>
      </c>
      <c r="E15" s="3">
        <v>34</v>
      </c>
      <c r="F15" s="3" t="s">
        <v>44</v>
      </c>
      <c r="G15" s="5">
        <f t="shared" si="0"/>
        <v>2.3529411764705883</v>
      </c>
    </row>
    <row r="16" spans="1:17" x14ac:dyDescent="0.25">
      <c r="Q16" t="s">
        <v>324</v>
      </c>
    </row>
    <row r="18" spans="1:16" ht="18.75" customHeight="1" x14ac:dyDescent="0.3">
      <c r="A18" s="21" t="s">
        <v>284</v>
      </c>
      <c r="B18" s="20"/>
      <c r="C18" s="20"/>
      <c r="D18" s="20"/>
      <c r="E18" s="20"/>
      <c r="F18" s="20"/>
      <c r="G18" s="20"/>
      <c r="J18" s="21" t="s">
        <v>285</v>
      </c>
      <c r="K18" s="20"/>
      <c r="L18" s="20"/>
      <c r="M18" s="20"/>
      <c r="N18" s="20"/>
      <c r="O18" s="20"/>
      <c r="P18" s="20"/>
    </row>
    <row r="19" spans="1:16" ht="18.75" customHeight="1" x14ac:dyDescent="0.3">
      <c r="A19" s="2" t="s">
        <v>4</v>
      </c>
      <c r="B19" s="2" t="s">
        <v>5</v>
      </c>
      <c r="C19" s="2" t="s">
        <v>6</v>
      </c>
      <c r="D19" s="2" t="s">
        <v>7</v>
      </c>
      <c r="E19" s="2" t="s">
        <v>8</v>
      </c>
      <c r="F19" s="2" t="s">
        <v>9</v>
      </c>
      <c r="G19" s="2" t="s">
        <v>10</v>
      </c>
      <c r="J19" s="2" t="s">
        <v>4</v>
      </c>
      <c r="K19" s="2" t="s">
        <v>5</v>
      </c>
      <c r="L19" s="2" t="s">
        <v>6</v>
      </c>
      <c r="M19" s="2" t="s">
        <v>201</v>
      </c>
      <c r="N19" s="2" t="s">
        <v>8</v>
      </c>
      <c r="O19" s="2" t="s">
        <v>9</v>
      </c>
      <c r="P19" s="2" t="s">
        <v>202</v>
      </c>
    </row>
    <row r="20" spans="1:16" ht="18.75" customHeight="1" x14ac:dyDescent="0.3">
      <c r="A20" s="2">
        <v>1</v>
      </c>
      <c r="B20" s="3" t="s">
        <v>131</v>
      </c>
      <c r="C20" s="3" t="s">
        <v>22</v>
      </c>
      <c r="D20" s="3">
        <v>84</v>
      </c>
      <c r="E20" s="3">
        <v>30</v>
      </c>
      <c r="F20" s="3" t="s">
        <v>18</v>
      </c>
      <c r="G20" s="5">
        <f t="shared" ref="G20:G29" si="2">D20/E20</f>
        <v>2.8</v>
      </c>
      <c r="J20" s="2">
        <v>1</v>
      </c>
      <c r="K20" s="3" t="s">
        <v>131</v>
      </c>
      <c r="L20" s="3" t="s">
        <v>23</v>
      </c>
      <c r="M20" s="3">
        <v>13</v>
      </c>
      <c r="N20" s="3">
        <v>34</v>
      </c>
      <c r="O20" s="3" t="s">
        <v>15</v>
      </c>
      <c r="P20" s="5">
        <f t="shared" ref="P20:P29" si="3">M20/N20</f>
        <v>0.38235294117647056</v>
      </c>
    </row>
    <row r="21" spans="1:16" ht="18.75" customHeight="1" x14ac:dyDescent="0.3">
      <c r="A21" s="2">
        <f>A20+1</f>
        <v>2</v>
      </c>
      <c r="B21" s="3" t="s">
        <v>131</v>
      </c>
      <c r="C21" s="3" t="s">
        <v>26</v>
      </c>
      <c r="D21" s="3">
        <v>91</v>
      </c>
      <c r="E21" s="3">
        <v>34</v>
      </c>
      <c r="F21" s="3" t="s">
        <v>18</v>
      </c>
      <c r="G21" s="5">
        <f t="shared" si="2"/>
        <v>2.6764705882352939</v>
      </c>
      <c r="J21" s="2">
        <f>J20+1</f>
        <v>2</v>
      </c>
      <c r="K21" s="3" t="s">
        <v>131</v>
      </c>
      <c r="L21" s="3" t="s">
        <v>59</v>
      </c>
      <c r="M21" s="3">
        <v>13</v>
      </c>
      <c r="N21" s="3">
        <v>30</v>
      </c>
      <c r="O21" s="3" t="s">
        <v>18</v>
      </c>
      <c r="P21" s="5">
        <f t="shared" si="3"/>
        <v>0.43333333333333335</v>
      </c>
    </row>
    <row r="22" spans="1:16" ht="18.75" customHeight="1" x14ac:dyDescent="0.3">
      <c r="A22" s="2">
        <f>A21+1</f>
        <v>3</v>
      </c>
      <c r="B22" s="3" t="s">
        <v>132</v>
      </c>
      <c r="C22" s="3" t="s">
        <v>35</v>
      </c>
      <c r="D22" s="3">
        <v>90</v>
      </c>
      <c r="E22" s="3">
        <v>34</v>
      </c>
      <c r="F22" s="3" t="s">
        <v>18</v>
      </c>
      <c r="G22" s="5">
        <f t="shared" si="2"/>
        <v>2.6470588235294117</v>
      </c>
      <c r="J22" s="2">
        <f>J23</f>
        <v>3</v>
      </c>
      <c r="K22" s="3" t="s">
        <v>131</v>
      </c>
      <c r="L22" s="3" t="s">
        <v>27</v>
      </c>
      <c r="M22" s="3">
        <v>14</v>
      </c>
      <c r="N22" s="3">
        <v>30</v>
      </c>
      <c r="O22" s="3" t="s">
        <v>18</v>
      </c>
      <c r="P22" s="5">
        <f t="shared" si="3"/>
        <v>0.46666666666666667</v>
      </c>
    </row>
    <row r="23" spans="1:16" ht="18.75" customHeight="1" x14ac:dyDescent="0.3">
      <c r="A23" s="2">
        <f>A22+1</f>
        <v>4</v>
      </c>
      <c r="B23" s="3" t="s">
        <v>131</v>
      </c>
      <c r="C23" s="3" t="s">
        <v>27</v>
      </c>
      <c r="D23" s="3">
        <v>78</v>
      </c>
      <c r="E23" s="3">
        <v>30</v>
      </c>
      <c r="F23" s="3" t="s">
        <v>18</v>
      </c>
      <c r="G23" s="5">
        <f t="shared" si="2"/>
        <v>2.6</v>
      </c>
      <c r="J23" s="2">
        <f>J21+1</f>
        <v>3</v>
      </c>
      <c r="K23" s="3" t="s">
        <v>127</v>
      </c>
      <c r="L23" s="3" t="s">
        <v>23</v>
      </c>
      <c r="M23" s="3">
        <v>16</v>
      </c>
      <c r="N23" s="3">
        <v>34</v>
      </c>
      <c r="O23" s="3" t="s">
        <v>18</v>
      </c>
      <c r="P23" s="5">
        <f t="shared" si="3"/>
        <v>0.47058823529411764</v>
      </c>
    </row>
    <row r="24" spans="1:16" ht="18.75" customHeight="1" x14ac:dyDescent="0.3">
      <c r="A24" s="2">
        <f>A23+1</f>
        <v>5</v>
      </c>
      <c r="B24" s="3" t="s">
        <v>127</v>
      </c>
      <c r="C24" s="3" t="s">
        <v>30</v>
      </c>
      <c r="D24" s="3">
        <v>88</v>
      </c>
      <c r="E24" s="3">
        <v>34</v>
      </c>
      <c r="F24" s="3" t="s">
        <v>18</v>
      </c>
      <c r="G24" s="5">
        <f t="shared" si="2"/>
        <v>2.5882352941176472</v>
      </c>
      <c r="J24" s="2">
        <f>J22</f>
        <v>3</v>
      </c>
      <c r="K24" s="3" t="s">
        <v>131</v>
      </c>
      <c r="L24" s="3" t="s">
        <v>37</v>
      </c>
      <c r="M24" s="3">
        <v>16</v>
      </c>
      <c r="N24" s="3">
        <v>34</v>
      </c>
      <c r="O24" s="3" t="s">
        <v>18</v>
      </c>
      <c r="P24" s="5">
        <f t="shared" si="3"/>
        <v>0.47058823529411764</v>
      </c>
    </row>
    <row r="25" spans="1:16" ht="18.75" customHeight="1" x14ac:dyDescent="0.3">
      <c r="A25" s="2">
        <f>A24</f>
        <v>5</v>
      </c>
      <c r="B25" s="3" t="s">
        <v>131</v>
      </c>
      <c r="C25" s="3" t="s">
        <v>29</v>
      </c>
      <c r="D25" s="3">
        <v>88</v>
      </c>
      <c r="E25" s="3">
        <v>34</v>
      </c>
      <c r="F25" s="3" t="s">
        <v>18</v>
      </c>
      <c r="G25" s="5">
        <f t="shared" si="2"/>
        <v>2.5882352941176472</v>
      </c>
      <c r="J25" s="2">
        <f>J22+3</f>
        <v>6</v>
      </c>
      <c r="K25" s="3" t="s">
        <v>132</v>
      </c>
      <c r="L25" s="3" t="s">
        <v>56</v>
      </c>
      <c r="M25" s="3">
        <v>15</v>
      </c>
      <c r="N25" s="3">
        <v>30</v>
      </c>
      <c r="O25" s="3" t="s">
        <v>15</v>
      </c>
      <c r="P25" s="5">
        <f t="shared" si="3"/>
        <v>0.5</v>
      </c>
    </row>
    <row r="26" spans="1:16" ht="18.75" customHeight="1" x14ac:dyDescent="0.3">
      <c r="A26" s="2">
        <f>A25</f>
        <v>5</v>
      </c>
      <c r="B26" s="3" t="s">
        <v>131</v>
      </c>
      <c r="C26" s="3" t="s">
        <v>17</v>
      </c>
      <c r="D26" s="3">
        <v>88</v>
      </c>
      <c r="E26" s="3">
        <v>34</v>
      </c>
      <c r="F26" s="3" t="s">
        <v>18</v>
      </c>
      <c r="G26" s="5">
        <f t="shared" si="2"/>
        <v>2.5882352941176472</v>
      </c>
      <c r="J26" s="2">
        <f>J25+1</f>
        <v>7</v>
      </c>
      <c r="K26" s="3" t="s">
        <v>131</v>
      </c>
      <c r="L26" s="3" t="s">
        <v>29</v>
      </c>
      <c r="M26" s="3">
        <v>18</v>
      </c>
      <c r="N26" s="3">
        <v>34</v>
      </c>
      <c r="O26" s="3" t="s">
        <v>18</v>
      </c>
      <c r="P26" s="5">
        <f t="shared" si="3"/>
        <v>0.52941176470588236</v>
      </c>
    </row>
    <row r="27" spans="1:16" ht="18.75" customHeight="1" x14ac:dyDescent="0.3">
      <c r="A27" s="2">
        <f>A25+3</f>
        <v>8</v>
      </c>
      <c r="B27" s="3" t="s">
        <v>127</v>
      </c>
      <c r="C27" s="3" t="s">
        <v>27</v>
      </c>
      <c r="D27" s="3">
        <v>77</v>
      </c>
      <c r="E27" s="3">
        <v>30</v>
      </c>
      <c r="F27" s="3" t="s">
        <v>15</v>
      </c>
      <c r="G27" s="5">
        <f t="shared" si="2"/>
        <v>2.5666666666666669</v>
      </c>
      <c r="J27" s="2">
        <f>J26</f>
        <v>7</v>
      </c>
      <c r="K27" s="3" t="s">
        <v>127</v>
      </c>
      <c r="L27" s="3" t="s">
        <v>25</v>
      </c>
      <c r="M27" s="3">
        <v>18</v>
      </c>
      <c r="N27" s="3">
        <v>34</v>
      </c>
      <c r="O27" s="3" t="s">
        <v>18</v>
      </c>
      <c r="P27" s="5">
        <f t="shared" si="3"/>
        <v>0.52941176470588236</v>
      </c>
    </row>
    <row r="28" spans="1:16" ht="18.75" customHeight="1" x14ac:dyDescent="0.3">
      <c r="A28" s="2">
        <f>A27+1</f>
        <v>9</v>
      </c>
      <c r="B28" s="3" t="s">
        <v>127</v>
      </c>
      <c r="C28" s="3" t="s">
        <v>14</v>
      </c>
      <c r="D28" s="3">
        <v>87</v>
      </c>
      <c r="E28" s="3">
        <v>34</v>
      </c>
      <c r="F28" s="3" t="s">
        <v>18</v>
      </c>
      <c r="G28" s="5">
        <f t="shared" si="2"/>
        <v>2.5588235294117645</v>
      </c>
      <c r="J28" s="2">
        <f>J27</f>
        <v>7</v>
      </c>
      <c r="K28" s="3" t="s">
        <v>131</v>
      </c>
      <c r="L28" s="3" t="s">
        <v>17</v>
      </c>
      <c r="M28" s="3">
        <v>18</v>
      </c>
      <c r="N28" s="3">
        <v>34</v>
      </c>
      <c r="O28" s="3" t="s">
        <v>18</v>
      </c>
      <c r="P28" s="5">
        <f t="shared" si="3"/>
        <v>0.52941176470588236</v>
      </c>
    </row>
    <row r="29" spans="1:16" ht="18.75" customHeight="1" x14ac:dyDescent="0.3">
      <c r="A29" s="2">
        <f>A28</f>
        <v>9</v>
      </c>
      <c r="B29" s="3" t="s">
        <v>127</v>
      </c>
      <c r="C29" s="3" t="s">
        <v>54</v>
      </c>
      <c r="D29" s="3">
        <v>87</v>
      </c>
      <c r="E29" s="3">
        <v>34</v>
      </c>
      <c r="F29" s="3" t="s">
        <v>18</v>
      </c>
      <c r="G29" s="5">
        <f t="shared" si="2"/>
        <v>2.5588235294117645</v>
      </c>
      <c r="J29" s="2">
        <f>J27</f>
        <v>7</v>
      </c>
      <c r="K29" s="3" t="s">
        <v>131</v>
      </c>
      <c r="L29" s="3" t="s">
        <v>21</v>
      </c>
      <c r="M29" s="3">
        <v>16</v>
      </c>
      <c r="N29" s="3">
        <v>30</v>
      </c>
      <c r="O29" s="3" t="s">
        <v>18</v>
      </c>
      <c r="P29" s="5">
        <f t="shared" si="3"/>
        <v>0.53333333333333333</v>
      </c>
    </row>
  </sheetData>
  <mergeCells count="4">
    <mergeCell ref="J1:P1"/>
    <mergeCell ref="A1:G1"/>
    <mergeCell ref="J18:P18"/>
    <mergeCell ref="A18:G18"/>
  </mergeCells>
  <conditionalFormatting sqref="G3:G15"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0:G27">
    <cfRule type="colorScale" priority="4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0:G29">
    <cfRule type="colorScale" priority="6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8:G29">
    <cfRule type="colorScale" priority="6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12">
    <cfRule type="colorScale" priority="6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:P29">
    <cfRule type="colorScale" priority="6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9"/>
  <sheetViews>
    <sheetView workbookViewId="0">
      <selection activeCell="K23" sqref="K23"/>
    </sheetView>
  </sheetViews>
  <sheetFormatPr baseColWidth="10" defaultRowHeight="15" x14ac:dyDescent="0.25"/>
  <cols>
    <col min="1" max="1" width="12.42578125" customWidth="1"/>
    <col min="2" max="2" width="18" customWidth="1"/>
    <col min="3" max="3" width="18.140625" customWidth="1"/>
    <col min="4" max="4" width="14.85546875" customWidth="1"/>
    <col min="5" max="5" width="30.7109375" bestFit="1" customWidth="1"/>
    <col min="6" max="6" width="22.42578125" bestFit="1" customWidth="1"/>
    <col min="7" max="7" width="14.7109375" customWidth="1"/>
    <col min="8" max="8" width="28.42578125" bestFit="1" customWidth="1"/>
    <col min="11" max="11" width="12.42578125" customWidth="1"/>
    <col min="12" max="12" width="15.85546875" customWidth="1"/>
    <col min="13" max="13" width="15.7109375" customWidth="1"/>
    <col min="14" max="14" width="19" bestFit="1" customWidth="1"/>
    <col min="15" max="15" width="22.42578125" bestFit="1" customWidth="1"/>
    <col min="16" max="16" width="13.85546875" bestFit="1" customWidth="1"/>
    <col min="17" max="17" width="32.140625" bestFit="1" customWidth="1"/>
  </cols>
  <sheetData>
    <row r="1" spans="1:17" ht="18.75" customHeight="1" x14ac:dyDescent="0.3">
      <c r="A1" s="21" t="s">
        <v>287</v>
      </c>
      <c r="B1" s="20"/>
      <c r="C1" s="20"/>
      <c r="D1" s="20"/>
      <c r="E1" s="20"/>
      <c r="F1" s="20"/>
      <c r="G1" s="20"/>
      <c r="H1" s="20"/>
      <c r="K1" s="21" t="s">
        <v>288</v>
      </c>
      <c r="L1" s="20"/>
      <c r="M1" s="20"/>
      <c r="N1" s="20"/>
      <c r="O1" s="20"/>
      <c r="P1" s="20"/>
      <c r="Q1" s="20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10</v>
      </c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</row>
    <row r="3" spans="1:17" ht="18.75" customHeight="1" x14ac:dyDescent="0.3">
      <c r="A3" s="2">
        <f>1</f>
        <v>1</v>
      </c>
      <c r="B3" s="3" t="s">
        <v>131</v>
      </c>
      <c r="C3" s="3" t="s">
        <v>84</v>
      </c>
      <c r="D3" s="3">
        <v>67</v>
      </c>
      <c r="E3" s="3" t="s">
        <v>111</v>
      </c>
      <c r="F3" s="3">
        <v>38</v>
      </c>
      <c r="G3" s="3" t="s">
        <v>15</v>
      </c>
      <c r="H3" s="5">
        <f>(D3/76)*3</f>
        <v>2.6447368421052628</v>
      </c>
      <c r="K3" s="2">
        <v>1</v>
      </c>
      <c r="L3" s="3" t="s">
        <v>127</v>
      </c>
      <c r="M3" s="3" t="s">
        <v>69</v>
      </c>
      <c r="N3" s="3">
        <v>103</v>
      </c>
      <c r="O3" s="3">
        <v>26</v>
      </c>
      <c r="P3" s="3" t="s">
        <v>18</v>
      </c>
      <c r="Q3" s="5">
        <f t="shared" ref="Q3:Q12" si="0">N3/O3</f>
        <v>3.9615384615384617</v>
      </c>
    </row>
    <row r="4" spans="1:17" ht="18.75" customHeight="1" x14ac:dyDescent="0.3">
      <c r="A4" s="2">
        <f>A3+1</f>
        <v>2</v>
      </c>
      <c r="B4" s="3" t="s">
        <v>127</v>
      </c>
      <c r="C4" s="3" t="s">
        <v>27</v>
      </c>
      <c r="D4" s="3">
        <v>77</v>
      </c>
      <c r="E4" s="3">
        <v>90</v>
      </c>
      <c r="F4" s="3">
        <v>30</v>
      </c>
      <c r="G4" s="3" t="s">
        <v>15</v>
      </c>
      <c r="H4" s="5">
        <f>D4/F4</f>
        <v>2.5666666666666669</v>
      </c>
      <c r="K4" s="2">
        <f t="shared" ref="K4:K11" si="1">K3+1</f>
        <v>2</v>
      </c>
      <c r="L4" s="3" t="s">
        <v>127</v>
      </c>
      <c r="M4" s="3" t="s">
        <v>72</v>
      </c>
      <c r="N4" s="3">
        <v>92</v>
      </c>
      <c r="O4" s="3">
        <v>26</v>
      </c>
      <c r="P4" s="3" t="s">
        <v>18</v>
      </c>
      <c r="Q4" s="5">
        <f t="shared" si="0"/>
        <v>3.5384615384615383</v>
      </c>
    </row>
    <row r="5" spans="1:17" ht="18.75" customHeight="1" x14ac:dyDescent="0.3">
      <c r="A5" s="2">
        <f>A4+1</f>
        <v>3</v>
      </c>
      <c r="B5" s="3" t="s">
        <v>127</v>
      </c>
      <c r="C5" s="3" t="s">
        <v>143</v>
      </c>
      <c r="D5" s="3">
        <v>51</v>
      </c>
      <c r="E5" s="3" t="s">
        <v>66</v>
      </c>
      <c r="F5" s="3">
        <v>30</v>
      </c>
      <c r="G5" s="3" t="s">
        <v>15</v>
      </c>
      <c r="H5" s="5">
        <f>(D5/60)*3</f>
        <v>2.5499999999999998</v>
      </c>
      <c r="K5" s="2">
        <f t="shared" si="1"/>
        <v>3</v>
      </c>
      <c r="L5" s="3" t="s">
        <v>127</v>
      </c>
      <c r="M5" s="3" t="s">
        <v>146</v>
      </c>
      <c r="N5" s="3">
        <v>88</v>
      </c>
      <c r="O5" s="3">
        <v>26</v>
      </c>
      <c r="P5" s="3" t="s">
        <v>18</v>
      </c>
      <c r="Q5" s="5">
        <f t="shared" si="0"/>
        <v>3.3846153846153846</v>
      </c>
    </row>
    <row r="6" spans="1:17" ht="18.75" customHeight="1" x14ac:dyDescent="0.3">
      <c r="A6" s="2">
        <f>A5+1</f>
        <v>4</v>
      </c>
      <c r="B6" s="3" t="s">
        <v>128</v>
      </c>
      <c r="C6" s="3" t="s">
        <v>30</v>
      </c>
      <c r="D6" s="3">
        <v>86</v>
      </c>
      <c r="E6" s="3">
        <v>102</v>
      </c>
      <c r="F6" s="3">
        <v>34</v>
      </c>
      <c r="G6" s="3" t="s">
        <v>15</v>
      </c>
      <c r="H6" s="5">
        <f>D6/F6</f>
        <v>2.5294117647058822</v>
      </c>
      <c r="K6" s="2">
        <f t="shared" si="1"/>
        <v>4</v>
      </c>
      <c r="L6" s="3" t="s">
        <v>127</v>
      </c>
      <c r="M6" s="3" t="s">
        <v>142</v>
      </c>
      <c r="N6" s="3">
        <v>101</v>
      </c>
      <c r="O6" s="3">
        <v>30</v>
      </c>
      <c r="P6" s="3" t="s">
        <v>18</v>
      </c>
      <c r="Q6" s="5">
        <f t="shared" si="0"/>
        <v>3.3666666666666667</v>
      </c>
    </row>
    <row r="7" spans="1:17" ht="18.75" customHeight="1" x14ac:dyDescent="0.3">
      <c r="A7" s="2">
        <f>A6+1</f>
        <v>5</v>
      </c>
      <c r="B7" s="3" t="s">
        <v>131</v>
      </c>
      <c r="C7" s="3" t="s">
        <v>54</v>
      </c>
      <c r="D7" s="3">
        <v>85</v>
      </c>
      <c r="E7" s="3">
        <v>102</v>
      </c>
      <c r="F7" s="3">
        <v>34</v>
      </c>
      <c r="G7" s="3" t="s">
        <v>15</v>
      </c>
      <c r="H7" s="5">
        <f>D7/F7</f>
        <v>2.5</v>
      </c>
      <c r="K7" s="2">
        <f t="shared" si="1"/>
        <v>5</v>
      </c>
      <c r="L7" s="3" t="s">
        <v>131</v>
      </c>
      <c r="M7" s="3" t="s">
        <v>147</v>
      </c>
      <c r="N7" s="3">
        <v>86</v>
      </c>
      <c r="O7" s="3">
        <v>26</v>
      </c>
      <c r="P7" s="3" t="s">
        <v>18</v>
      </c>
      <c r="Q7" s="5">
        <f t="shared" si="0"/>
        <v>3.3076923076923075</v>
      </c>
    </row>
    <row r="8" spans="1:17" ht="18.75" customHeight="1" x14ac:dyDescent="0.3">
      <c r="A8" s="2">
        <f>A7</f>
        <v>5</v>
      </c>
      <c r="B8" s="3" t="s">
        <v>132</v>
      </c>
      <c r="C8" s="3" t="s">
        <v>26</v>
      </c>
      <c r="D8" s="3">
        <v>85</v>
      </c>
      <c r="E8" s="3">
        <v>102</v>
      </c>
      <c r="F8" s="3">
        <v>34</v>
      </c>
      <c r="G8" s="3" t="s">
        <v>15</v>
      </c>
      <c r="H8" s="5">
        <f>D8/F8</f>
        <v>2.5</v>
      </c>
      <c r="K8" s="2">
        <f t="shared" si="1"/>
        <v>6</v>
      </c>
      <c r="L8" s="3" t="s">
        <v>132</v>
      </c>
      <c r="M8" s="3" t="s">
        <v>309</v>
      </c>
      <c r="N8" s="3">
        <v>96</v>
      </c>
      <c r="O8" s="3">
        <v>30</v>
      </c>
      <c r="P8" s="3" t="s">
        <v>18</v>
      </c>
      <c r="Q8" s="5">
        <f t="shared" si="0"/>
        <v>3.2</v>
      </c>
    </row>
    <row r="9" spans="1:17" ht="18.75" customHeight="1" x14ac:dyDescent="0.3">
      <c r="A9" s="2">
        <f>A8</f>
        <v>5</v>
      </c>
      <c r="B9" s="3" t="s">
        <v>131</v>
      </c>
      <c r="C9" s="3" t="s">
        <v>14</v>
      </c>
      <c r="D9" s="3">
        <v>85</v>
      </c>
      <c r="E9" s="3">
        <v>102</v>
      </c>
      <c r="F9" s="3">
        <v>34</v>
      </c>
      <c r="G9" s="3" t="s">
        <v>15</v>
      </c>
      <c r="H9" s="5">
        <f>D9/F9</f>
        <v>2.5</v>
      </c>
      <c r="K9" s="2">
        <f t="shared" si="1"/>
        <v>7</v>
      </c>
      <c r="L9" s="3" t="s">
        <v>132</v>
      </c>
      <c r="M9" s="3" t="s">
        <v>68</v>
      </c>
      <c r="N9" s="3">
        <v>82</v>
      </c>
      <c r="O9" s="3">
        <v>26</v>
      </c>
      <c r="P9" s="3" t="s">
        <v>15</v>
      </c>
      <c r="Q9" s="5">
        <f t="shared" si="0"/>
        <v>3.1538461538461537</v>
      </c>
    </row>
    <row r="10" spans="1:17" ht="18.75" customHeight="1" x14ac:dyDescent="0.3">
      <c r="A10" s="2">
        <f>A9</f>
        <v>5</v>
      </c>
      <c r="B10" s="3" t="s">
        <v>131</v>
      </c>
      <c r="C10" s="3" t="s">
        <v>121</v>
      </c>
      <c r="D10" s="3">
        <v>50</v>
      </c>
      <c r="E10" s="3" t="s">
        <v>66</v>
      </c>
      <c r="F10" s="3">
        <v>30</v>
      </c>
      <c r="G10" s="3" t="s">
        <v>15</v>
      </c>
      <c r="H10" s="5">
        <f>(D10/60)*3</f>
        <v>2.5</v>
      </c>
      <c r="K10" s="2">
        <f t="shared" si="1"/>
        <v>8</v>
      </c>
      <c r="L10" s="3" t="s">
        <v>127</v>
      </c>
      <c r="M10" s="3" t="s">
        <v>208</v>
      </c>
      <c r="N10" s="3">
        <v>94</v>
      </c>
      <c r="O10" s="3">
        <v>30</v>
      </c>
      <c r="P10" s="3" t="s">
        <v>18</v>
      </c>
      <c r="Q10" s="5">
        <f t="shared" si="0"/>
        <v>3.1333333333333333</v>
      </c>
    </row>
    <row r="11" spans="1:17" ht="18.75" customHeight="1" x14ac:dyDescent="0.3">
      <c r="A11" s="2">
        <f>A10+4</f>
        <v>9</v>
      </c>
      <c r="B11" s="3" t="s">
        <v>132</v>
      </c>
      <c r="C11" s="3" t="s">
        <v>68</v>
      </c>
      <c r="D11" s="3">
        <v>43</v>
      </c>
      <c r="E11" s="3" t="s">
        <v>148</v>
      </c>
      <c r="F11" s="3">
        <v>26</v>
      </c>
      <c r="G11" s="3" t="s">
        <v>15</v>
      </c>
      <c r="H11" s="5">
        <f>(D11/52)*3</f>
        <v>2.4807692307692308</v>
      </c>
      <c r="K11" s="2">
        <f t="shared" si="1"/>
        <v>9</v>
      </c>
      <c r="L11" s="3" t="s">
        <v>127</v>
      </c>
      <c r="M11" s="3" t="s">
        <v>155</v>
      </c>
      <c r="N11" s="3">
        <v>81</v>
      </c>
      <c r="O11" s="3">
        <v>26</v>
      </c>
      <c r="P11" s="3" t="s">
        <v>18</v>
      </c>
      <c r="Q11" s="5">
        <f t="shared" si="0"/>
        <v>3.1153846153846154</v>
      </c>
    </row>
    <row r="12" spans="1:17" ht="18.75" customHeight="1" x14ac:dyDescent="0.3">
      <c r="A12" s="2">
        <f>A11</f>
        <v>9</v>
      </c>
      <c r="B12" s="3" t="s">
        <v>127</v>
      </c>
      <c r="C12" s="3" t="s">
        <v>73</v>
      </c>
      <c r="D12" s="3">
        <v>43</v>
      </c>
      <c r="E12" s="3" t="s">
        <v>148</v>
      </c>
      <c r="F12" s="3">
        <v>26</v>
      </c>
      <c r="G12" s="3" t="s">
        <v>15</v>
      </c>
      <c r="H12" s="5">
        <f>(D12/52)*3</f>
        <v>2.4807692307692308</v>
      </c>
      <c r="K12" s="2">
        <f>K11</f>
        <v>9</v>
      </c>
      <c r="L12" s="3" t="s">
        <v>131</v>
      </c>
      <c r="M12" s="3" t="s">
        <v>325</v>
      </c>
      <c r="N12" s="3">
        <v>81</v>
      </c>
      <c r="O12" s="3">
        <v>26</v>
      </c>
      <c r="P12" s="3" t="s">
        <v>18</v>
      </c>
      <c r="Q12" s="5">
        <f t="shared" si="0"/>
        <v>3.1153846153846154</v>
      </c>
    </row>
    <row r="13" spans="1:17" ht="18.75" customHeight="1" x14ac:dyDescent="0.3">
      <c r="A13" s="2">
        <f>A11</f>
        <v>9</v>
      </c>
      <c r="B13" s="3" t="s">
        <v>131</v>
      </c>
      <c r="C13" s="3" t="s">
        <v>150</v>
      </c>
      <c r="D13" s="3">
        <v>43</v>
      </c>
      <c r="E13" s="3" t="s">
        <v>148</v>
      </c>
      <c r="F13" s="3">
        <v>26</v>
      </c>
      <c r="G13" s="3" t="s">
        <v>15</v>
      </c>
      <c r="H13" s="5">
        <f>(D13/52)*3</f>
        <v>2.4807692307692308</v>
      </c>
    </row>
    <row r="16" spans="1:17" ht="18.75" customHeight="1" x14ac:dyDescent="0.3">
      <c r="A16" s="21" t="s">
        <v>290</v>
      </c>
      <c r="B16" s="20"/>
      <c r="C16" s="20"/>
      <c r="D16" s="20"/>
      <c r="E16" s="20"/>
      <c r="F16" s="20"/>
      <c r="G16" s="20"/>
      <c r="K16" s="21" t="s">
        <v>291</v>
      </c>
      <c r="L16" s="20"/>
      <c r="M16" s="20"/>
      <c r="N16" s="20"/>
      <c r="O16" s="20"/>
      <c r="P16" s="20"/>
      <c r="Q16" s="20"/>
    </row>
    <row r="17" spans="1:17" ht="18.75" customHeight="1" x14ac:dyDescent="0.3">
      <c r="A17" s="2" t="s">
        <v>4</v>
      </c>
      <c r="B17" s="2" t="s">
        <v>5</v>
      </c>
      <c r="C17" s="2" t="s">
        <v>6</v>
      </c>
      <c r="D17" s="2" t="s">
        <v>7</v>
      </c>
      <c r="E17" s="2" t="s">
        <v>62</v>
      </c>
      <c r="F17" s="2" t="s">
        <v>8</v>
      </c>
      <c r="G17" s="2" t="s">
        <v>9</v>
      </c>
      <c r="H17" s="2" t="s">
        <v>10</v>
      </c>
      <c r="K17" s="2" t="s">
        <v>4</v>
      </c>
      <c r="L17" s="2" t="s">
        <v>5</v>
      </c>
      <c r="M17" s="2" t="s">
        <v>6</v>
      </c>
      <c r="N17" s="2" t="s">
        <v>201</v>
      </c>
      <c r="O17" s="2" t="s">
        <v>8</v>
      </c>
      <c r="P17" s="2" t="s">
        <v>9</v>
      </c>
      <c r="Q17" s="2" t="s">
        <v>202</v>
      </c>
    </row>
    <row r="18" spans="1:17" ht="18.75" customHeight="1" x14ac:dyDescent="0.3">
      <c r="A18" s="2">
        <v>1</v>
      </c>
      <c r="B18" s="3" t="s">
        <v>127</v>
      </c>
      <c r="C18" s="3" t="s">
        <v>142</v>
      </c>
      <c r="D18" s="3">
        <v>58</v>
      </c>
      <c r="E18" s="3" t="s">
        <v>66</v>
      </c>
      <c r="F18" s="3">
        <v>30</v>
      </c>
      <c r="G18" s="3" t="s">
        <v>18</v>
      </c>
      <c r="H18" s="5">
        <f>(D18/60)*3</f>
        <v>2.9</v>
      </c>
      <c r="K18" s="2">
        <v>1</v>
      </c>
      <c r="L18" s="3" t="s">
        <v>131</v>
      </c>
      <c r="M18" s="3" t="s">
        <v>153</v>
      </c>
      <c r="N18" s="3">
        <v>9</v>
      </c>
      <c r="O18" s="3">
        <v>30</v>
      </c>
      <c r="P18" s="3" t="s">
        <v>15</v>
      </c>
      <c r="Q18" s="5">
        <f t="shared" ref="Q18:Q29" si="2">N18/O18</f>
        <v>0.3</v>
      </c>
    </row>
    <row r="19" spans="1:17" ht="18.75" customHeight="1" x14ac:dyDescent="0.3">
      <c r="A19" s="2">
        <f>A18+1</f>
        <v>2</v>
      </c>
      <c r="B19" s="3" t="s">
        <v>131</v>
      </c>
      <c r="C19" s="3" t="s">
        <v>22</v>
      </c>
      <c r="D19" s="3">
        <v>84</v>
      </c>
      <c r="E19" s="3">
        <v>90</v>
      </c>
      <c r="F19" s="3">
        <v>30</v>
      </c>
      <c r="G19" s="3" t="s">
        <v>18</v>
      </c>
      <c r="H19" s="5">
        <f>D19/F19</f>
        <v>2.8</v>
      </c>
      <c r="K19" s="2">
        <f>K18</f>
        <v>1</v>
      </c>
      <c r="L19" s="3" t="s">
        <v>131</v>
      </c>
      <c r="M19" s="3" t="s">
        <v>121</v>
      </c>
      <c r="N19" s="3">
        <v>9</v>
      </c>
      <c r="O19" s="3">
        <v>30</v>
      </c>
      <c r="P19" s="3" t="s">
        <v>15</v>
      </c>
      <c r="Q19" s="5">
        <f t="shared" si="2"/>
        <v>0.3</v>
      </c>
    </row>
    <row r="20" spans="1:17" ht="18.75" customHeight="1" x14ac:dyDescent="0.3">
      <c r="A20" s="2">
        <f>A19+1</f>
        <v>3</v>
      </c>
      <c r="B20" s="3" t="s">
        <v>127</v>
      </c>
      <c r="C20" s="3" t="s">
        <v>155</v>
      </c>
      <c r="D20" s="3">
        <v>48</v>
      </c>
      <c r="E20" s="3" t="s">
        <v>148</v>
      </c>
      <c r="F20" s="3">
        <v>26</v>
      </c>
      <c r="G20" s="3" t="s">
        <v>18</v>
      </c>
      <c r="H20" s="5">
        <f>(D20/52)*3</f>
        <v>2.7692307692307692</v>
      </c>
      <c r="K20" s="2">
        <f>K19+2</f>
        <v>3</v>
      </c>
      <c r="L20" s="3" t="s">
        <v>131</v>
      </c>
      <c r="M20" s="3" t="s">
        <v>154</v>
      </c>
      <c r="N20" s="3">
        <v>11</v>
      </c>
      <c r="O20" s="3">
        <v>34</v>
      </c>
      <c r="P20" s="3" t="s">
        <v>18</v>
      </c>
      <c r="Q20" s="5">
        <f t="shared" si="2"/>
        <v>0.3235294117647059</v>
      </c>
    </row>
    <row r="21" spans="1:17" ht="18.75" customHeight="1" x14ac:dyDescent="0.3">
      <c r="A21" s="2">
        <f>A20+1</f>
        <v>4</v>
      </c>
      <c r="B21" s="3" t="s">
        <v>131</v>
      </c>
      <c r="C21" s="3" t="s">
        <v>156</v>
      </c>
      <c r="D21" s="3">
        <v>55</v>
      </c>
      <c r="E21" s="3" t="s">
        <v>66</v>
      </c>
      <c r="F21" s="3">
        <v>30</v>
      </c>
      <c r="G21" s="3" t="s">
        <v>18</v>
      </c>
      <c r="H21" s="5">
        <f>(D21/60)*3</f>
        <v>2.75</v>
      </c>
      <c r="K21" s="2">
        <f>K20+1</f>
        <v>4</v>
      </c>
      <c r="L21" s="3" t="s">
        <v>127</v>
      </c>
      <c r="M21" s="3" t="s">
        <v>143</v>
      </c>
      <c r="N21" s="3">
        <v>11</v>
      </c>
      <c r="O21" s="3">
        <v>30</v>
      </c>
      <c r="P21" s="3" t="s">
        <v>15</v>
      </c>
      <c r="Q21" s="5">
        <f t="shared" si="2"/>
        <v>0.36666666666666664</v>
      </c>
    </row>
    <row r="22" spans="1:17" ht="18.75" customHeight="1" x14ac:dyDescent="0.3">
      <c r="A22" s="2">
        <f>A21</f>
        <v>4</v>
      </c>
      <c r="B22" s="3" t="s">
        <v>127</v>
      </c>
      <c r="C22" s="3" t="s">
        <v>71</v>
      </c>
      <c r="D22" s="3">
        <v>55</v>
      </c>
      <c r="E22" s="3" t="s">
        <v>66</v>
      </c>
      <c r="F22" s="3">
        <v>30</v>
      </c>
      <c r="G22" s="3" t="s">
        <v>18</v>
      </c>
      <c r="H22" s="5">
        <f>(D22/60)*3</f>
        <v>2.75</v>
      </c>
      <c r="K22" s="2">
        <f>K21+1</f>
        <v>5</v>
      </c>
      <c r="L22" s="3" t="s">
        <v>131</v>
      </c>
      <c r="M22" s="3" t="s">
        <v>23</v>
      </c>
      <c r="N22" s="3">
        <v>13</v>
      </c>
      <c r="O22" s="3">
        <v>34</v>
      </c>
      <c r="P22" s="3" t="s">
        <v>15</v>
      </c>
      <c r="Q22" s="5">
        <f t="shared" si="2"/>
        <v>0.38235294117647056</v>
      </c>
    </row>
    <row r="23" spans="1:17" ht="18.75" customHeight="1" x14ac:dyDescent="0.3">
      <c r="A23" s="2">
        <f>A22+2</f>
        <v>6</v>
      </c>
      <c r="B23" s="3" t="s">
        <v>131</v>
      </c>
      <c r="C23" s="3" t="s">
        <v>157</v>
      </c>
      <c r="D23" s="3">
        <v>62</v>
      </c>
      <c r="E23" s="3" t="s">
        <v>70</v>
      </c>
      <c r="F23" s="3">
        <v>34</v>
      </c>
      <c r="G23" s="3" t="s">
        <v>18</v>
      </c>
      <c r="H23" s="5">
        <f>(D23/68)*3</f>
        <v>2.7352941176470589</v>
      </c>
      <c r="K23" s="2">
        <f>K22+1</f>
        <v>6</v>
      </c>
      <c r="L23" s="3" t="s">
        <v>127</v>
      </c>
      <c r="M23" s="3" t="s">
        <v>85</v>
      </c>
      <c r="N23" s="3">
        <v>15</v>
      </c>
      <c r="O23" s="3">
        <v>38</v>
      </c>
      <c r="P23" s="3" t="s">
        <v>18</v>
      </c>
      <c r="Q23" s="5">
        <f t="shared" si="2"/>
        <v>0.39473684210526316</v>
      </c>
    </row>
    <row r="24" spans="1:17" ht="18.75" customHeight="1" x14ac:dyDescent="0.3">
      <c r="A24" s="2">
        <f>A23+1</f>
        <v>7</v>
      </c>
      <c r="B24" s="3" t="s">
        <v>127</v>
      </c>
      <c r="C24" s="3" t="s">
        <v>84</v>
      </c>
      <c r="D24" s="3">
        <v>69</v>
      </c>
      <c r="E24" s="3" t="s">
        <v>111</v>
      </c>
      <c r="F24" s="3">
        <v>38</v>
      </c>
      <c r="G24" s="3" t="s">
        <v>18</v>
      </c>
      <c r="H24" s="5">
        <f>(D24/76)*3</f>
        <v>2.7236842105263159</v>
      </c>
      <c r="K24" s="2">
        <f>K23</f>
        <v>6</v>
      </c>
      <c r="L24" s="3" t="s">
        <v>131</v>
      </c>
      <c r="M24" s="3" t="s">
        <v>82</v>
      </c>
      <c r="N24" s="3">
        <v>15</v>
      </c>
      <c r="O24" s="3">
        <v>38</v>
      </c>
      <c r="P24" s="3" t="s">
        <v>18</v>
      </c>
      <c r="Q24" s="5">
        <f t="shared" si="2"/>
        <v>0.39473684210526316</v>
      </c>
    </row>
    <row r="25" spans="1:17" ht="18.75" customHeight="1" x14ac:dyDescent="0.3">
      <c r="A25" s="2">
        <f>A24+1</f>
        <v>8</v>
      </c>
      <c r="B25" s="3" t="s">
        <v>131</v>
      </c>
      <c r="C25" s="3" t="s">
        <v>26</v>
      </c>
      <c r="D25" s="3">
        <v>91</v>
      </c>
      <c r="E25" s="3">
        <v>102</v>
      </c>
      <c r="F25" s="3">
        <v>34</v>
      </c>
      <c r="G25" s="3" t="s">
        <v>18</v>
      </c>
      <c r="H25" s="5">
        <f>D25/F25</f>
        <v>2.6764705882352939</v>
      </c>
      <c r="K25" s="2">
        <f>K24+2</f>
        <v>8</v>
      </c>
      <c r="L25" s="3" t="s">
        <v>127</v>
      </c>
      <c r="M25" s="3" t="s">
        <v>122</v>
      </c>
      <c r="N25" s="3">
        <v>12</v>
      </c>
      <c r="O25" s="3">
        <v>30</v>
      </c>
      <c r="P25" s="3" t="s">
        <v>18</v>
      </c>
      <c r="Q25" s="5">
        <f t="shared" si="2"/>
        <v>0.4</v>
      </c>
    </row>
    <row r="26" spans="1:17" ht="18.75" customHeight="1" x14ac:dyDescent="0.3">
      <c r="A26" s="2">
        <f>A25+1</f>
        <v>9</v>
      </c>
      <c r="B26" s="3" t="s">
        <v>132</v>
      </c>
      <c r="C26" s="3" t="s">
        <v>77</v>
      </c>
      <c r="D26" s="3">
        <v>46</v>
      </c>
      <c r="E26" s="3" t="s">
        <v>148</v>
      </c>
      <c r="F26" s="3">
        <v>26</v>
      </c>
      <c r="G26" s="3" t="s">
        <v>18</v>
      </c>
      <c r="H26" s="5">
        <f>(D26/52)*3</f>
        <v>2.6538461538461537</v>
      </c>
      <c r="K26" s="2">
        <f>K25+1</f>
        <v>9</v>
      </c>
      <c r="L26" s="3" t="s">
        <v>131</v>
      </c>
      <c r="M26" s="3" t="s">
        <v>59</v>
      </c>
      <c r="N26" s="3">
        <v>13</v>
      </c>
      <c r="O26" s="3">
        <v>30</v>
      </c>
      <c r="P26" s="3" t="s">
        <v>18</v>
      </c>
      <c r="Q26" s="5">
        <f t="shared" si="2"/>
        <v>0.43333333333333335</v>
      </c>
    </row>
    <row r="27" spans="1:17" ht="18.75" customHeight="1" x14ac:dyDescent="0.3">
      <c r="A27" s="2">
        <f>A26</f>
        <v>9</v>
      </c>
      <c r="B27" s="3" t="s">
        <v>127</v>
      </c>
      <c r="C27" s="3" t="s">
        <v>69</v>
      </c>
      <c r="D27" s="3">
        <v>46</v>
      </c>
      <c r="E27" s="3" t="s">
        <v>148</v>
      </c>
      <c r="F27" s="3">
        <v>26</v>
      </c>
      <c r="G27" s="3" t="s">
        <v>18</v>
      </c>
      <c r="H27" s="5">
        <f>(D27/52)*3</f>
        <v>2.6538461538461537</v>
      </c>
      <c r="K27" s="2">
        <f>K26</f>
        <v>9</v>
      </c>
      <c r="L27" s="3" t="s">
        <v>127</v>
      </c>
      <c r="M27" s="3" t="s">
        <v>142</v>
      </c>
      <c r="N27" s="3">
        <v>13</v>
      </c>
      <c r="O27" s="3">
        <v>30</v>
      </c>
      <c r="P27" s="3" t="s">
        <v>18</v>
      </c>
      <c r="Q27" s="5">
        <f t="shared" si="2"/>
        <v>0.43333333333333335</v>
      </c>
    </row>
    <row r="28" spans="1:17" ht="18.75" customHeight="1" x14ac:dyDescent="0.3">
      <c r="A28" s="2">
        <f>A26</f>
        <v>9</v>
      </c>
      <c r="B28" s="3" t="s">
        <v>127</v>
      </c>
      <c r="C28" s="3" t="s">
        <v>72</v>
      </c>
      <c r="D28" s="3">
        <v>46</v>
      </c>
      <c r="E28" s="3" t="s">
        <v>148</v>
      </c>
      <c r="F28" s="3">
        <v>26</v>
      </c>
      <c r="G28" s="3" t="s">
        <v>18</v>
      </c>
      <c r="H28" s="5">
        <f>(D28/52)*3</f>
        <v>2.6538461538461537</v>
      </c>
      <c r="K28" s="2">
        <f>K26</f>
        <v>9</v>
      </c>
      <c r="L28" s="3" t="s">
        <v>131</v>
      </c>
      <c r="M28" s="3" t="s">
        <v>156</v>
      </c>
      <c r="N28" s="3">
        <v>13</v>
      </c>
      <c r="O28" s="3">
        <v>30</v>
      </c>
      <c r="P28" s="3" t="s">
        <v>18</v>
      </c>
      <c r="Q28" s="5">
        <f t="shared" si="2"/>
        <v>0.43333333333333335</v>
      </c>
    </row>
    <row r="29" spans="1:17" ht="18.75" customHeight="1" x14ac:dyDescent="0.3">
      <c r="A29" s="2">
        <f>A28</f>
        <v>9</v>
      </c>
      <c r="B29" s="3" t="s">
        <v>132</v>
      </c>
      <c r="C29" s="3" t="s">
        <v>35</v>
      </c>
      <c r="D29" s="3">
        <v>90</v>
      </c>
      <c r="E29" s="3">
        <v>102</v>
      </c>
      <c r="F29" s="3">
        <v>34</v>
      </c>
      <c r="G29" s="3" t="s">
        <v>18</v>
      </c>
      <c r="H29" s="5">
        <f>D29/F29</f>
        <v>2.6470588235294117</v>
      </c>
      <c r="K29" s="2">
        <f>K26</f>
        <v>9</v>
      </c>
      <c r="L29" s="3" t="s">
        <v>127</v>
      </c>
      <c r="M29" s="3" t="s">
        <v>144</v>
      </c>
      <c r="N29" s="3">
        <v>13</v>
      </c>
      <c r="O29" s="3">
        <v>30</v>
      </c>
      <c r="P29" s="3" t="s">
        <v>15</v>
      </c>
      <c r="Q29" s="5">
        <f t="shared" si="2"/>
        <v>0.43333333333333335</v>
      </c>
    </row>
  </sheetData>
  <mergeCells count="4">
    <mergeCell ref="A1:H1"/>
    <mergeCell ref="A16:G16"/>
    <mergeCell ref="K1:Q1"/>
    <mergeCell ref="K16:Q16"/>
  </mergeCells>
  <conditionalFormatting sqref="H3:H13">
    <cfRule type="colorScale" priority="4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8:H29">
    <cfRule type="colorScale" priority="5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9"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8:Q2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37"/>
  <sheetViews>
    <sheetView topLeftCell="A10" workbookViewId="0">
      <selection activeCell="L34" sqref="L34"/>
    </sheetView>
  </sheetViews>
  <sheetFormatPr baseColWidth="10" defaultRowHeight="15" x14ac:dyDescent="0.25"/>
  <cols>
    <col min="2" max="2" width="20.28515625" customWidth="1"/>
    <col min="3" max="3" width="15.5703125" customWidth="1"/>
    <col min="4" max="4" width="14" bestFit="1" customWidth="1"/>
    <col min="5" max="5" width="30.7109375" bestFit="1" customWidth="1"/>
    <col min="6" max="6" width="23.42578125" bestFit="1" customWidth="1"/>
    <col min="7" max="7" width="13.85546875" bestFit="1" customWidth="1"/>
    <col min="8" max="8" width="28.42578125" bestFit="1" customWidth="1"/>
    <col min="11" max="11" width="13.140625" customWidth="1"/>
    <col min="12" max="12" width="20" bestFit="1" customWidth="1"/>
    <col min="13" max="13" width="15.85546875" customWidth="1"/>
    <col min="14" max="14" width="19" bestFit="1" customWidth="1"/>
    <col min="15" max="15" width="23.42578125" bestFit="1" customWidth="1"/>
    <col min="16" max="16" width="13.85546875" bestFit="1" customWidth="1"/>
    <col min="17" max="17" width="32.85546875" bestFit="1" customWidth="1"/>
  </cols>
  <sheetData>
    <row r="1" spans="1:17" ht="18.75" customHeight="1" x14ac:dyDescent="0.3">
      <c r="A1" s="21" t="s">
        <v>292</v>
      </c>
      <c r="B1" s="20"/>
      <c r="C1" s="20"/>
      <c r="D1" s="20"/>
      <c r="E1" s="20"/>
      <c r="F1" s="20"/>
      <c r="G1" s="20"/>
      <c r="H1" s="20"/>
      <c r="K1" s="21" t="s">
        <v>293</v>
      </c>
      <c r="L1" s="20"/>
      <c r="M1" s="20"/>
      <c r="N1" s="20"/>
      <c r="O1" s="20"/>
      <c r="P1" s="20"/>
      <c r="Q1" s="20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10</v>
      </c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</row>
    <row r="3" spans="1:17" ht="18.75" customHeight="1" x14ac:dyDescent="0.3">
      <c r="A3" s="2">
        <v>1</v>
      </c>
      <c r="B3" s="3" t="s">
        <v>132</v>
      </c>
      <c r="C3" s="3" t="s">
        <v>161</v>
      </c>
      <c r="D3" s="3">
        <v>32</v>
      </c>
      <c r="E3" s="3" t="s">
        <v>162</v>
      </c>
      <c r="F3" s="3">
        <v>18</v>
      </c>
      <c r="G3" s="3" t="s">
        <v>15</v>
      </c>
      <c r="H3" s="5">
        <f>(D3/36)*3</f>
        <v>2.6666666666666665</v>
      </c>
      <c r="K3" s="2">
        <v>1</v>
      </c>
      <c r="L3" s="3" t="s">
        <v>132</v>
      </c>
      <c r="M3" s="3" t="s">
        <v>161</v>
      </c>
      <c r="N3" s="3">
        <v>87</v>
      </c>
      <c r="O3" s="3">
        <v>18</v>
      </c>
      <c r="P3" s="3" t="s">
        <v>15</v>
      </c>
      <c r="Q3" s="5">
        <f t="shared" ref="Q3:Q17" si="0">N3/O3</f>
        <v>4.833333333333333</v>
      </c>
    </row>
    <row r="4" spans="1:17" ht="18.75" customHeight="1" x14ac:dyDescent="0.3">
      <c r="A4" s="2">
        <f t="shared" ref="A4:A9" si="1">A3+1</f>
        <v>2</v>
      </c>
      <c r="B4" s="3" t="s">
        <v>131</v>
      </c>
      <c r="C4" s="3" t="s">
        <v>84</v>
      </c>
      <c r="D4" s="3">
        <v>67</v>
      </c>
      <c r="E4" s="3" t="s">
        <v>111</v>
      </c>
      <c r="F4" s="3">
        <v>38</v>
      </c>
      <c r="G4" s="3" t="s">
        <v>15</v>
      </c>
      <c r="H4" s="5">
        <f>(D4/76)*3</f>
        <v>2.6447368421052628</v>
      </c>
      <c r="K4" s="2">
        <f t="shared" ref="K4:K17" si="2">K3+1</f>
        <v>2</v>
      </c>
      <c r="L4" s="3" t="s">
        <v>132</v>
      </c>
      <c r="M4" s="3" t="s">
        <v>174</v>
      </c>
      <c r="N4" s="3">
        <v>67</v>
      </c>
      <c r="O4" s="3">
        <v>14</v>
      </c>
      <c r="P4" s="3" t="s">
        <v>44</v>
      </c>
      <c r="Q4" s="5">
        <f t="shared" si="0"/>
        <v>4.7857142857142856</v>
      </c>
    </row>
    <row r="5" spans="1:17" ht="18.75" customHeight="1" x14ac:dyDescent="0.3">
      <c r="A5" s="2">
        <f t="shared" si="1"/>
        <v>3</v>
      </c>
      <c r="B5" s="3" t="s">
        <v>127</v>
      </c>
      <c r="C5" s="3" t="s">
        <v>27</v>
      </c>
      <c r="D5" s="3">
        <v>77</v>
      </c>
      <c r="E5" s="3">
        <v>90</v>
      </c>
      <c r="F5" s="3">
        <v>30</v>
      </c>
      <c r="G5" s="3" t="s">
        <v>15</v>
      </c>
      <c r="H5" s="5">
        <f>D5/F5</f>
        <v>2.5666666666666669</v>
      </c>
      <c r="K5" s="2">
        <f t="shared" si="2"/>
        <v>3</v>
      </c>
      <c r="L5" s="3" t="s">
        <v>132</v>
      </c>
      <c r="M5" s="3" t="s">
        <v>176</v>
      </c>
      <c r="N5" s="3">
        <v>123</v>
      </c>
      <c r="O5" s="3">
        <v>26</v>
      </c>
      <c r="P5" s="3" t="s">
        <v>18</v>
      </c>
      <c r="Q5" s="5">
        <f t="shared" si="0"/>
        <v>4.7307692307692308</v>
      </c>
    </row>
    <row r="6" spans="1:17" ht="18.75" customHeight="1" x14ac:dyDescent="0.3">
      <c r="A6" s="2">
        <f t="shared" si="1"/>
        <v>4</v>
      </c>
      <c r="B6" s="3" t="s">
        <v>127</v>
      </c>
      <c r="C6" s="3" t="s">
        <v>143</v>
      </c>
      <c r="D6" s="3">
        <v>51</v>
      </c>
      <c r="E6" s="3" t="s">
        <v>66</v>
      </c>
      <c r="F6" s="3">
        <v>30</v>
      </c>
      <c r="G6" s="3" t="s">
        <v>15</v>
      </c>
      <c r="H6" s="5">
        <f>(D6/60)*3</f>
        <v>2.5499999999999998</v>
      </c>
      <c r="K6" s="2">
        <f t="shared" si="2"/>
        <v>4</v>
      </c>
      <c r="L6" s="3" t="s">
        <v>127</v>
      </c>
      <c r="M6" s="3" t="s">
        <v>180</v>
      </c>
      <c r="N6" s="3">
        <v>79</v>
      </c>
      <c r="O6" s="3">
        <v>18</v>
      </c>
      <c r="P6" s="3" t="s">
        <v>18</v>
      </c>
      <c r="Q6" s="5">
        <f t="shared" si="0"/>
        <v>4.3888888888888893</v>
      </c>
    </row>
    <row r="7" spans="1:17" ht="18.75" customHeight="1" x14ac:dyDescent="0.3">
      <c r="A7" s="2">
        <f t="shared" si="1"/>
        <v>5</v>
      </c>
      <c r="B7" s="3" t="s">
        <v>128</v>
      </c>
      <c r="C7" s="3" t="s">
        <v>30</v>
      </c>
      <c r="D7" s="3">
        <v>86</v>
      </c>
      <c r="E7" s="3">
        <v>102</v>
      </c>
      <c r="F7" s="3">
        <v>34</v>
      </c>
      <c r="G7" s="3" t="s">
        <v>15</v>
      </c>
      <c r="H7" s="5">
        <f>D7/F7</f>
        <v>2.5294117647058822</v>
      </c>
      <c r="K7" s="2">
        <f t="shared" si="2"/>
        <v>5</v>
      </c>
      <c r="L7" s="3" t="s">
        <v>182</v>
      </c>
      <c r="M7" s="3" t="s">
        <v>183</v>
      </c>
      <c r="N7" s="3">
        <v>78</v>
      </c>
      <c r="O7" s="3">
        <v>18</v>
      </c>
      <c r="P7" s="3" t="s">
        <v>44</v>
      </c>
      <c r="Q7" s="5">
        <f t="shared" si="0"/>
        <v>4.333333333333333</v>
      </c>
    </row>
    <row r="8" spans="1:17" ht="18.75" customHeight="1" x14ac:dyDescent="0.3">
      <c r="A8" s="2">
        <f t="shared" si="1"/>
        <v>6</v>
      </c>
      <c r="B8" s="3" t="s">
        <v>127</v>
      </c>
      <c r="C8" s="3" t="s">
        <v>165</v>
      </c>
      <c r="D8" s="3">
        <v>37</v>
      </c>
      <c r="E8" s="3" t="s">
        <v>120</v>
      </c>
      <c r="F8" s="3">
        <v>22</v>
      </c>
      <c r="G8" s="3" t="s">
        <v>15</v>
      </c>
      <c r="H8" s="5">
        <f>(D8/44)*3</f>
        <v>2.5227272727272729</v>
      </c>
      <c r="K8" s="2">
        <f t="shared" si="2"/>
        <v>6</v>
      </c>
      <c r="L8" s="3" t="s">
        <v>132</v>
      </c>
      <c r="M8" s="3" t="s">
        <v>104</v>
      </c>
      <c r="N8" s="3">
        <v>93</v>
      </c>
      <c r="O8" s="3">
        <v>22</v>
      </c>
      <c r="P8" s="3" t="s">
        <v>15</v>
      </c>
      <c r="Q8" s="5">
        <f t="shared" si="0"/>
        <v>4.2272727272727275</v>
      </c>
    </row>
    <row r="9" spans="1:17" ht="18.75" customHeight="1" x14ac:dyDescent="0.3">
      <c r="A9" s="2">
        <f t="shared" si="1"/>
        <v>7</v>
      </c>
      <c r="B9" s="3" t="s">
        <v>131</v>
      </c>
      <c r="C9" s="3" t="s">
        <v>54</v>
      </c>
      <c r="D9" s="3">
        <v>85</v>
      </c>
      <c r="E9" s="3">
        <v>102</v>
      </c>
      <c r="F9" s="3">
        <v>34</v>
      </c>
      <c r="G9" s="3" t="s">
        <v>15</v>
      </c>
      <c r="H9" s="5">
        <f>D9/F9</f>
        <v>2.5</v>
      </c>
      <c r="K9" s="2">
        <f t="shared" si="2"/>
        <v>7</v>
      </c>
      <c r="L9" s="3" t="s">
        <v>131</v>
      </c>
      <c r="M9" s="3" t="s">
        <v>161</v>
      </c>
      <c r="N9" s="3">
        <v>76</v>
      </c>
      <c r="O9" s="3">
        <v>18</v>
      </c>
      <c r="P9" s="3" t="s">
        <v>18</v>
      </c>
      <c r="Q9" s="5">
        <f t="shared" si="0"/>
        <v>4.2222222222222223</v>
      </c>
    </row>
    <row r="10" spans="1:17" ht="18.75" customHeight="1" x14ac:dyDescent="0.3">
      <c r="A10" s="2">
        <f>A9</f>
        <v>7</v>
      </c>
      <c r="B10" s="3" t="s">
        <v>132</v>
      </c>
      <c r="C10" s="3" t="s">
        <v>26</v>
      </c>
      <c r="D10" s="3">
        <v>85</v>
      </c>
      <c r="E10" s="3">
        <v>102</v>
      </c>
      <c r="F10" s="3">
        <v>34</v>
      </c>
      <c r="G10" s="3" t="s">
        <v>15</v>
      </c>
      <c r="H10" s="5">
        <f>D10/F10</f>
        <v>2.5</v>
      </c>
      <c r="K10" s="2">
        <f t="shared" si="2"/>
        <v>8</v>
      </c>
      <c r="L10" s="3" t="s">
        <v>182</v>
      </c>
      <c r="M10" s="3" t="s">
        <v>107</v>
      </c>
      <c r="N10" s="3">
        <v>59</v>
      </c>
      <c r="O10" s="3">
        <v>14</v>
      </c>
      <c r="P10" s="3" t="s">
        <v>44</v>
      </c>
      <c r="Q10" s="5">
        <f t="shared" si="0"/>
        <v>4.2142857142857144</v>
      </c>
    </row>
    <row r="11" spans="1:17" ht="18.75" customHeight="1" x14ac:dyDescent="0.3">
      <c r="A11" s="2">
        <f>A10</f>
        <v>7</v>
      </c>
      <c r="B11" s="3" t="s">
        <v>131</v>
      </c>
      <c r="C11" s="3" t="s">
        <v>14</v>
      </c>
      <c r="D11" s="3">
        <v>85</v>
      </c>
      <c r="E11" s="3">
        <v>102</v>
      </c>
      <c r="F11" s="3">
        <v>34</v>
      </c>
      <c r="G11" s="3" t="s">
        <v>15</v>
      </c>
      <c r="H11" s="5">
        <f>D11/F11</f>
        <v>2.5</v>
      </c>
      <c r="K11" s="2">
        <f t="shared" si="2"/>
        <v>9</v>
      </c>
      <c r="L11" s="3" t="s">
        <v>132</v>
      </c>
      <c r="M11" s="3" t="s">
        <v>107</v>
      </c>
      <c r="N11" s="3">
        <v>58</v>
      </c>
      <c r="O11" s="3">
        <v>14</v>
      </c>
      <c r="P11" s="3" t="s">
        <v>18</v>
      </c>
      <c r="Q11" s="5">
        <f t="shared" si="0"/>
        <v>4.1428571428571432</v>
      </c>
    </row>
    <row r="12" spans="1:17" ht="18.75" customHeight="1" x14ac:dyDescent="0.3">
      <c r="A12" s="2">
        <f>A11</f>
        <v>7</v>
      </c>
      <c r="B12" s="3" t="s">
        <v>131</v>
      </c>
      <c r="C12" s="3" t="s">
        <v>121</v>
      </c>
      <c r="D12" s="3">
        <v>50</v>
      </c>
      <c r="E12" s="3" t="s">
        <v>66</v>
      </c>
      <c r="F12" s="3">
        <v>30</v>
      </c>
      <c r="G12" s="3" t="s">
        <v>15</v>
      </c>
      <c r="H12" s="5">
        <f>(D12/60)*3</f>
        <v>2.5</v>
      </c>
      <c r="K12" s="2">
        <f t="shared" si="2"/>
        <v>10</v>
      </c>
      <c r="L12" s="3" t="s">
        <v>127</v>
      </c>
      <c r="M12" s="3" t="s">
        <v>183</v>
      </c>
      <c r="N12" s="3">
        <v>74</v>
      </c>
      <c r="O12" s="3">
        <v>18</v>
      </c>
      <c r="P12" s="3" t="s">
        <v>18</v>
      </c>
      <c r="Q12" s="5">
        <f t="shared" si="0"/>
        <v>4.1111111111111107</v>
      </c>
    </row>
    <row r="13" spans="1:17" ht="18.75" customHeight="1" x14ac:dyDescent="0.3">
      <c r="A13" s="2">
        <f>A12+4</f>
        <v>11</v>
      </c>
      <c r="B13" s="3" t="s">
        <v>132</v>
      </c>
      <c r="C13" s="3" t="s">
        <v>68</v>
      </c>
      <c r="D13" s="3">
        <v>43</v>
      </c>
      <c r="E13" s="3" t="s">
        <v>148</v>
      </c>
      <c r="F13" s="3">
        <v>26</v>
      </c>
      <c r="G13" s="3" t="s">
        <v>15</v>
      </c>
      <c r="H13" s="5">
        <f>(D13/52)*3</f>
        <v>2.4807692307692308</v>
      </c>
      <c r="K13" s="2">
        <f t="shared" si="2"/>
        <v>11</v>
      </c>
      <c r="L13" s="3" t="s">
        <v>131</v>
      </c>
      <c r="M13" s="3" t="s">
        <v>178</v>
      </c>
      <c r="N13" s="3">
        <v>57</v>
      </c>
      <c r="O13" s="3">
        <v>14</v>
      </c>
      <c r="P13" s="3" t="s">
        <v>18</v>
      </c>
      <c r="Q13" s="5">
        <f t="shared" si="0"/>
        <v>4.0714285714285712</v>
      </c>
    </row>
    <row r="14" spans="1:17" ht="18.75" customHeight="1" x14ac:dyDescent="0.3">
      <c r="A14" s="2">
        <f>A13</f>
        <v>11</v>
      </c>
      <c r="B14" s="3" t="s">
        <v>127</v>
      </c>
      <c r="C14" s="3" t="s">
        <v>73</v>
      </c>
      <c r="D14" s="3">
        <v>43</v>
      </c>
      <c r="E14" s="3" t="s">
        <v>148</v>
      </c>
      <c r="F14" s="3">
        <v>26</v>
      </c>
      <c r="G14" s="3" t="s">
        <v>15</v>
      </c>
      <c r="H14" s="5">
        <f>(D14/52)*3</f>
        <v>2.4807692307692308</v>
      </c>
      <c r="K14" s="2">
        <f t="shared" si="2"/>
        <v>12</v>
      </c>
      <c r="L14" s="3" t="s">
        <v>127</v>
      </c>
      <c r="M14" s="3" t="s">
        <v>326</v>
      </c>
      <c r="N14" s="3">
        <v>57</v>
      </c>
      <c r="O14" s="3">
        <v>14</v>
      </c>
      <c r="P14" s="3" t="s">
        <v>18</v>
      </c>
      <c r="Q14" s="5">
        <f t="shared" si="0"/>
        <v>4.0714285714285712</v>
      </c>
    </row>
    <row r="15" spans="1:17" ht="18.75" customHeight="1" x14ac:dyDescent="0.3">
      <c r="A15" s="2">
        <f>A13</f>
        <v>11</v>
      </c>
      <c r="B15" s="3" t="s">
        <v>131</v>
      </c>
      <c r="C15" s="3" t="s">
        <v>150</v>
      </c>
      <c r="D15" s="3">
        <v>43</v>
      </c>
      <c r="E15" s="3" t="s">
        <v>148</v>
      </c>
      <c r="F15" s="3">
        <v>26</v>
      </c>
      <c r="G15" s="3" t="s">
        <v>15</v>
      </c>
      <c r="H15" s="5">
        <f>(D15/52)*3</f>
        <v>2.4807692307692308</v>
      </c>
      <c r="K15" s="2">
        <f t="shared" si="2"/>
        <v>13</v>
      </c>
      <c r="L15" s="3" t="s">
        <v>182</v>
      </c>
      <c r="M15" s="3" t="s">
        <v>180</v>
      </c>
      <c r="N15" s="3">
        <v>72</v>
      </c>
      <c r="O15" s="3">
        <v>18</v>
      </c>
      <c r="P15" s="3" t="s">
        <v>44</v>
      </c>
      <c r="Q15" s="5">
        <f t="shared" si="0"/>
        <v>4</v>
      </c>
    </row>
    <row r="16" spans="1:17" ht="18.75" customHeight="1" x14ac:dyDescent="0.3">
      <c r="A16" s="2">
        <f>A15+3</f>
        <v>14</v>
      </c>
      <c r="B16" s="3" t="s">
        <v>131</v>
      </c>
      <c r="C16" s="3" t="s">
        <v>174</v>
      </c>
      <c r="D16" s="3">
        <v>23</v>
      </c>
      <c r="E16" s="3" t="s">
        <v>327</v>
      </c>
      <c r="F16" s="3">
        <v>14</v>
      </c>
      <c r="G16" s="3" t="s">
        <v>15</v>
      </c>
      <c r="H16" s="5">
        <f>(D16/28)*3</f>
        <v>2.4642857142857144</v>
      </c>
      <c r="K16" s="2">
        <f t="shared" si="2"/>
        <v>14</v>
      </c>
      <c r="L16" s="3" t="s">
        <v>127</v>
      </c>
      <c r="M16" s="3" t="s">
        <v>69</v>
      </c>
      <c r="N16" s="3">
        <v>103</v>
      </c>
      <c r="O16" s="3">
        <v>26</v>
      </c>
      <c r="P16" s="3" t="s">
        <v>18</v>
      </c>
      <c r="Q16" s="5">
        <f t="shared" si="0"/>
        <v>3.9615384615384617</v>
      </c>
    </row>
    <row r="17" spans="1:17" ht="18.75" customHeight="1" x14ac:dyDescent="0.3">
      <c r="A17" s="2">
        <f>A16</f>
        <v>14</v>
      </c>
      <c r="B17" s="3" t="s">
        <v>131</v>
      </c>
      <c r="C17" s="3" t="s">
        <v>326</v>
      </c>
      <c r="D17" s="3">
        <v>23</v>
      </c>
      <c r="E17" s="3" t="s">
        <v>327</v>
      </c>
      <c r="F17" s="3">
        <v>14</v>
      </c>
      <c r="G17" s="3" t="s">
        <v>15</v>
      </c>
      <c r="H17" s="5">
        <f>(D17/28)*3</f>
        <v>2.4642857142857144</v>
      </c>
      <c r="K17" s="2">
        <f t="shared" si="2"/>
        <v>15</v>
      </c>
      <c r="L17" s="3" t="s">
        <v>328</v>
      </c>
      <c r="M17" s="3" t="s">
        <v>183</v>
      </c>
      <c r="N17" s="3">
        <v>70</v>
      </c>
      <c r="O17" s="3">
        <v>18</v>
      </c>
      <c r="P17" s="3" t="s">
        <v>98</v>
      </c>
      <c r="Q17" s="5">
        <f t="shared" si="0"/>
        <v>3.8888888888888888</v>
      </c>
    </row>
    <row r="21" spans="1:17" ht="18.75" customHeight="1" x14ac:dyDescent="0.3">
      <c r="A21" s="21" t="s">
        <v>294</v>
      </c>
      <c r="B21" s="20"/>
      <c r="C21" s="20"/>
      <c r="D21" s="20"/>
      <c r="E21" s="20"/>
      <c r="F21" s="20"/>
      <c r="G21" s="20"/>
      <c r="H21" s="20"/>
      <c r="K21" s="21" t="s">
        <v>295</v>
      </c>
      <c r="L21" s="20"/>
      <c r="M21" s="20"/>
      <c r="N21" s="20"/>
      <c r="O21" s="20"/>
      <c r="P21" s="20"/>
      <c r="Q21" s="20"/>
    </row>
    <row r="22" spans="1:17" ht="18.75" customHeight="1" x14ac:dyDescent="0.3">
      <c r="A22" s="2" t="s">
        <v>4</v>
      </c>
      <c r="B22" s="2" t="s">
        <v>5</v>
      </c>
      <c r="C22" s="2" t="s">
        <v>6</v>
      </c>
      <c r="D22" s="2" t="s">
        <v>7</v>
      </c>
      <c r="E22" s="2" t="s">
        <v>62</v>
      </c>
      <c r="F22" s="2" t="s">
        <v>8</v>
      </c>
      <c r="G22" s="2" t="s">
        <v>9</v>
      </c>
      <c r="H22" s="2" t="s">
        <v>10</v>
      </c>
      <c r="K22" s="2" t="s">
        <v>4</v>
      </c>
      <c r="L22" s="2" t="s">
        <v>5</v>
      </c>
      <c r="M22" s="2" t="s">
        <v>6</v>
      </c>
      <c r="N22" s="2" t="s">
        <v>201</v>
      </c>
      <c r="O22" s="2" t="s">
        <v>8</v>
      </c>
      <c r="P22" s="2" t="s">
        <v>9</v>
      </c>
      <c r="Q22" s="2" t="s">
        <v>202</v>
      </c>
    </row>
    <row r="23" spans="1:17" ht="18.75" customHeight="1" x14ac:dyDescent="0.3">
      <c r="A23" s="2">
        <v>1</v>
      </c>
      <c r="B23" s="3" t="s">
        <v>127</v>
      </c>
      <c r="C23" s="3" t="s">
        <v>142</v>
      </c>
      <c r="D23" s="3">
        <v>58</v>
      </c>
      <c r="E23" s="3" t="s">
        <v>66</v>
      </c>
      <c r="F23" s="3">
        <v>30</v>
      </c>
      <c r="G23" s="3" t="s">
        <v>18</v>
      </c>
      <c r="H23" s="5">
        <f>(D23/60)*3</f>
        <v>2.9</v>
      </c>
      <c r="K23" s="2">
        <v>1</v>
      </c>
      <c r="L23" s="3" t="s">
        <v>131</v>
      </c>
      <c r="M23" s="3" t="s">
        <v>153</v>
      </c>
      <c r="N23" s="3">
        <v>9</v>
      </c>
      <c r="O23" s="3">
        <v>30</v>
      </c>
      <c r="P23" s="3" t="s">
        <v>15</v>
      </c>
      <c r="Q23" s="5">
        <f t="shared" ref="Q23:Q37" si="3">N23/O23</f>
        <v>0.3</v>
      </c>
    </row>
    <row r="24" spans="1:17" ht="18.75" customHeight="1" x14ac:dyDescent="0.3">
      <c r="A24" s="2">
        <f>A23+1</f>
        <v>2</v>
      </c>
      <c r="B24" s="3" t="s">
        <v>131</v>
      </c>
      <c r="C24" s="3" t="s">
        <v>161</v>
      </c>
      <c r="D24" s="3">
        <v>34</v>
      </c>
      <c r="E24" s="3" t="s">
        <v>162</v>
      </c>
      <c r="F24" s="3">
        <v>18</v>
      </c>
      <c r="G24" s="3" t="s">
        <v>18</v>
      </c>
      <c r="H24" s="5">
        <f>(D24/36)*3</f>
        <v>2.833333333333333</v>
      </c>
      <c r="K24" s="2">
        <f>K23</f>
        <v>1</v>
      </c>
      <c r="L24" s="3" t="s">
        <v>131</v>
      </c>
      <c r="M24" s="3" t="s">
        <v>121</v>
      </c>
      <c r="N24" s="3">
        <v>9</v>
      </c>
      <c r="O24" s="3">
        <v>30</v>
      </c>
      <c r="P24" s="3" t="s">
        <v>15</v>
      </c>
      <c r="Q24" s="5">
        <f t="shared" si="3"/>
        <v>0.3</v>
      </c>
    </row>
    <row r="25" spans="1:17" ht="18.75" customHeight="1" x14ac:dyDescent="0.3">
      <c r="A25" s="2">
        <f>A24+1</f>
        <v>3</v>
      </c>
      <c r="B25" s="3" t="s">
        <v>131</v>
      </c>
      <c r="C25" s="3" t="s">
        <v>22</v>
      </c>
      <c r="D25" s="3">
        <v>84</v>
      </c>
      <c r="E25" s="3">
        <v>90</v>
      </c>
      <c r="F25" s="3">
        <v>30</v>
      </c>
      <c r="G25" s="3" t="s">
        <v>18</v>
      </c>
      <c r="H25" s="5">
        <f>D25/F25</f>
        <v>2.8</v>
      </c>
      <c r="K25" s="2">
        <f>K24+2</f>
        <v>3</v>
      </c>
      <c r="L25" s="3" t="s">
        <v>131</v>
      </c>
      <c r="M25" s="3" t="s">
        <v>154</v>
      </c>
      <c r="N25" s="3">
        <v>11</v>
      </c>
      <c r="O25" s="3">
        <v>34</v>
      </c>
      <c r="P25" s="3" t="s">
        <v>18</v>
      </c>
      <c r="Q25" s="5">
        <f t="shared" si="3"/>
        <v>0.3235294117647059</v>
      </c>
    </row>
    <row r="26" spans="1:17" ht="18.75" customHeight="1" x14ac:dyDescent="0.3">
      <c r="A26" s="2">
        <f>A25+1</f>
        <v>4</v>
      </c>
      <c r="B26" s="3" t="s">
        <v>127</v>
      </c>
      <c r="C26" s="3" t="s">
        <v>155</v>
      </c>
      <c r="D26" s="3">
        <v>48</v>
      </c>
      <c r="E26" s="3" t="s">
        <v>148</v>
      </c>
      <c r="F26" s="3">
        <v>26</v>
      </c>
      <c r="G26" s="3" t="s">
        <v>18</v>
      </c>
      <c r="H26" s="5">
        <f>(D26/52)*3</f>
        <v>2.7692307692307692</v>
      </c>
      <c r="K26" s="2">
        <f>K25+1</f>
        <v>4</v>
      </c>
      <c r="L26" s="3" t="s">
        <v>127</v>
      </c>
      <c r="M26" s="3" t="s">
        <v>143</v>
      </c>
      <c r="N26" s="3">
        <v>11</v>
      </c>
      <c r="O26" s="3">
        <v>30</v>
      </c>
      <c r="P26" s="3" t="s">
        <v>15</v>
      </c>
      <c r="Q26" s="5">
        <f t="shared" si="3"/>
        <v>0.36666666666666664</v>
      </c>
    </row>
    <row r="27" spans="1:17" ht="18.75" customHeight="1" x14ac:dyDescent="0.3">
      <c r="A27" s="2">
        <f>A26+1</f>
        <v>5</v>
      </c>
      <c r="B27" s="3" t="s">
        <v>131</v>
      </c>
      <c r="C27" s="3" t="s">
        <v>156</v>
      </c>
      <c r="D27" s="3">
        <v>55</v>
      </c>
      <c r="E27" s="3" t="s">
        <v>66</v>
      </c>
      <c r="F27" s="3">
        <v>30</v>
      </c>
      <c r="G27" s="3" t="s">
        <v>18</v>
      </c>
      <c r="H27" s="5">
        <f>(D27/60)*3</f>
        <v>2.75</v>
      </c>
      <c r="K27" s="2">
        <f>K26+1</f>
        <v>5</v>
      </c>
      <c r="L27" s="3" t="s">
        <v>131</v>
      </c>
      <c r="M27" s="3" t="s">
        <v>23</v>
      </c>
      <c r="N27" s="3">
        <v>13</v>
      </c>
      <c r="O27" s="3">
        <v>34</v>
      </c>
      <c r="P27" s="3" t="s">
        <v>15</v>
      </c>
      <c r="Q27" s="5">
        <f t="shared" si="3"/>
        <v>0.38235294117647056</v>
      </c>
    </row>
    <row r="28" spans="1:17" ht="18.75" customHeight="1" x14ac:dyDescent="0.3">
      <c r="A28" s="2">
        <f>A27</f>
        <v>5</v>
      </c>
      <c r="B28" s="3" t="s">
        <v>127</v>
      </c>
      <c r="C28" s="3" t="s">
        <v>71</v>
      </c>
      <c r="D28" s="3">
        <v>55</v>
      </c>
      <c r="E28" s="3" t="s">
        <v>66</v>
      </c>
      <c r="F28" s="3">
        <v>30</v>
      </c>
      <c r="G28" s="3" t="s">
        <v>18</v>
      </c>
      <c r="H28" s="5">
        <f>(D28/60)*3</f>
        <v>2.75</v>
      </c>
      <c r="K28" s="2">
        <f>K27+1</f>
        <v>6</v>
      </c>
      <c r="L28" s="3" t="s">
        <v>127</v>
      </c>
      <c r="M28" s="3" t="s">
        <v>85</v>
      </c>
      <c r="N28" s="3">
        <v>15</v>
      </c>
      <c r="O28" s="3">
        <v>38</v>
      </c>
      <c r="P28" s="3" t="s">
        <v>18</v>
      </c>
      <c r="Q28" s="5">
        <f t="shared" si="3"/>
        <v>0.39473684210526316</v>
      </c>
    </row>
    <row r="29" spans="1:17" ht="18.75" customHeight="1" x14ac:dyDescent="0.3">
      <c r="A29" s="2">
        <f>A28+2</f>
        <v>7</v>
      </c>
      <c r="B29" s="3" t="s">
        <v>131</v>
      </c>
      <c r="C29" s="3" t="s">
        <v>157</v>
      </c>
      <c r="D29" s="3">
        <v>62</v>
      </c>
      <c r="E29" s="3" t="s">
        <v>70</v>
      </c>
      <c r="F29" s="3">
        <v>34</v>
      </c>
      <c r="G29" s="3" t="s">
        <v>18</v>
      </c>
      <c r="H29" s="5">
        <f>(D29/68)*3</f>
        <v>2.7352941176470589</v>
      </c>
      <c r="K29" s="2">
        <f>K28</f>
        <v>6</v>
      </c>
      <c r="L29" s="3" t="s">
        <v>131</v>
      </c>
      <c r="M29" s="3" t="s">
        <v>82</v>
      </c>
      <c r="N29" s="3">
        <v>15</v>
      </c>
      <c r="O29" s="3">
        <v>38</v>
      </c>
      <c r="P29" s="3" t="s">
        <v>18</v>
      </c>
      <c r="Q29" s="5">
        <f t="shared" si="3"/>
        <v>0.39473684210526316</v>
      </c>
    </row>
    <row r="30" spans="1:17" ht="18.75" customHeight="1" x14ac:dyDescent="0.3">
      <c r="A30" s="2">
        <f>A29+1</f>
        <v>8</v>
      </c>
      <c r="B30" s="3" t="s">
        <v>127</v>
      </c>
      <c r="C30" s="3" t="s">
        <v>84</v>
      </c>
      <c r="D30" s="3">
        <v>69</v>
      </c>
      <c r="E30" s="3" t="s">
        <v>111</v>
      </c>
      <c r="F30" s="3">
        <v>38</v>
      </c>
      <c r="G30" s="3" t="s">
        <v>18</v>
      </c>
      <c r="H30" s="5">
        <f>(D30/76)*3</f>
        <v>2.7236842105263159</v>
      </c>
      <c r="K30" s="2">
        <f>K29+2</f>
        <v>8</v>
      </c>
      <c r="L30" s="3" t="s">
        <v>127</v>
      </c>
      <c r="M30" s="3" t="s">
        <v>122</v>
      </c>
      <c r="N30" s="3">
        <v>12</v>
      </c>
      <c r="O30" s="3">
        <v>30</v>
      </c>
      <c r="P30" s="3" t="s">
        <v>18</v>
      </c>
      <c r="Q30" s="5">
        <f t="shared" si="3"/>
        <v>0.4</v>
      </c>
    </row>
    <row r="31" spans="1:17" ht="18.75" customHeight="1" x14ac:dyDescent="0.3">
      <c r="A31" s="2">
        <f>A30+1</f>
        <v>9</v>
      </c>
      <c r="B31" s="3" t="s">
        <v>132</v>
      </c>
      <c r="C31" s="3" t="s">
        <v>176</v>
      </c>
      <c r="D31" s="3">
        <v>47</v>
      </c>
      <c r="E31" s="3" t="s">
        <v>148</v>
      </c>
      <c r="F31" s="3">
        <v>26</v>
      </c>
      <c r="G31" s="3" t="s">
        <v>18</v>
      </c>
      <c r="H31" s="5">
        <f>(D31/52)*3</f>
        <v>2.7115384615384617</v>
      </c>
      <c r="K31" s="2">
        <f>K30+1</f>
        <v>9</v>
      </c>
      <c r="L31" s="3" t="s">
        <v>131</v>
      </c>
      <c r="M31" s="3" t="s">
        <v>59</v>
      </c>
      <c r="N31" s="3">
        <v>13</v>
      </c>
      <c r="O31" s="3">
        <v>30</v>
      </c>
      <c r="P31" s="3" t="s">
        <v>18</v>
      </c>
      <c r="Q31" s="5">
        <f t="shared" si="3"/>
        <v>0.43333333333333335</v>
      </c>
    </row>
    <row r="32" spans="1:17" ht="18.75" customHeight="1" x14ac:dyDescent="0.3">
      <c r="A32" s="2">
        <f>A31+1</f>
        <v>10</v>
      </c>
      <c r="B32" s="3" t="s">
        <v>131</v>
      </c>
      <c r="C32" s="3" t="s">
        <v>26</v>
      </c>
      <c r="D32" s="3">
        <v>91</v>
      </c>
      <c r="E32" s="3">
        <v>102</v>
      </c>
      <c r="F32" s="3">
        <v>34</v>
      </c>
      <c r="G32" s="3" t="s">
        <v>18</v>
      </c>
      <c r="H32" s="5">
        <f>D32/F32</f>
        <v>2.6764705882352939</v>
      </c>
      <c r="K32" s="2">
        <f>K31</f>
        <v>9</v>
      </c>
      <c r="L32" s="3" t="s">
        <v>127</v>
      </c>
      <c r="M32" s="3" t="s">
        <v>142</v>
      </c>
      <c r="N32" s="3">
        <v>13</v>
      </c>
      <c r="O32" s="3">
        <v>30</v>
      </c>
      <c r="P32" s="3" t="s">
        <v>18</v>
      </c>
      <c r="Q32" s="5">
        <f t="shared" si="3"/>
        <v>0.43333333333333335</v>
      </c>
    </row>
    <row r="33" spans="1:17" ht="18.75" customHeight="1" x14ac:dyDescent="0.3">
      <c r="A33" s="2">
        <f>A32+1</f>
        <v>11</v>
      </c>
      <c r="B33" s="3" t="s">
        <v>132</v>
      </c>
      <c r="C33" s="3" t="s">
        <v>161</v>
      </c>
      <c r="D33" s="3">
        <v>32</v>
      </c>
      <c r="E33" s="3" t="s">
        <v>162</v>
      </c>
      <c r="F33" s="3">
        <v>18</v>
      </c>
      <c r="G33" s="3" t="s">
        <v>15</v>
      </c>
      <c r="H33" s="5">
        <f>(D33/36)*3</f>
        <v>2.6666666666666665</v>
      </c>
      <c r="K33" s="2">
        <f>K31</f>
        <v>9</v>
      </c>
      <c r="L33" s="3" t="s">
        <v>131</v>
      </c>
      <c r="M33" s="3" t="s">
        <v>156</v>
      </c>
      <c r="N33" s="3">
        <v>13</v>
      </c>
      <c r="O33" s="3">
        <v>30</v>
      </c>
      <c r="P33" s="3" t="s">
        <v>18</v>
      </c>
      <c r="Q33" s="5">
        <f t="shared" si="3"/>
        <v>0.43333333333333335</v>
      </c>
    </row>
    <row r="34" spans="1:17" ht="18.75" customHeight="1" x14ac:dyDescent="0.3">
      <c r="A34" s="2">
        <f>A33+1</f>
        <v>12</v>
      </c>
      <c r="B34" s="3" t="s">
        <v>132</v>
      </c>
      <c r="C34" s="3" t="s">
        <v>77</v>
      </c>
      <c r="D34" s="3">
        <v>46</v>
      </c>
      <c r="E34" s="3" t="s">
        <v>148</v>
      </c>
      <c r="F34" s="3">
        <v>26</v>
      </c>
      <c r="G34" s="3" t="s">
        <v>18</v>
      </c>
      <c r="H34" s="5">
        <f>(D34/52)*3</f>
        <v>2.6538461538461537</v>
      </c>
      <c r="K34" s="2">
        <f>K31</f>
        <v>9</v>
      </c>
      <c r="L34" s="3" t="s">
        <v>127</v>
      </c>
      <c r="M34" s="3" t="s">
        <v>144</v>
      </c>
      <c r="N34" s="3">
        <v>13</v>
      </c>
      <c r="O34" s="3">
        <v>30</v>
      </c>
      <c r="P34" s="3" t="s">
        <v>15</v>
      </c>
      <c r="Q34" s="5">
        <f t="shared" si="3"/>
        <v>0.43333333333333335</v>
      </c>
    </row>
    <row r="35" spans="1:17" ht="18.75" customHeight="1" x14ac:dyDescent="0.3">
      <c r="A35" s="2">
        <f>A34</f>
        <v>12</v>
      </c>
      <c r="B35" s="3" t="s">
        <v>127</v>
      </c>
      <c r="C35" s="3" t="s">
        <v>69</v>
      </c>
      <c r="D35" s="3">
        <v>46</v>
      </c>
      <c r="E35" s="3" t="s">
        <v>148</v>
      </c>
      <c r="F35" s="3">
        <v>26</v>
      </c>
      <c r="G35" s="3" t="s">
        <v>18</v>
      </c>
      <c r="H35" s="5">
        <f>(D35/52)*3</f>
        <v>2.6538461538461537</v>
      </c>
      <c r="K35" s="2">
        <f>K34+4</f>
        <v>13</v>
      </c>
      <c r="L35" s="3" t="s">
        <v>131</v>
      </c>
      <c r="M35" s="3" t="s">
        <v>157</v>
      </c>
      <c r="N35" s="3">
        <v>15</v>
      </c>
      <c r="O35" s="3">
        <v>34</v>
      </c>
      <c r="P35" s="3" t="s">
        <v>18</v>
      </c>
      <c r="Q35" s="5">
        <f t="shared" si="3"/>
        <v>0.44117647058823528</v>
      </c>
    </row>
    <row r="36" spans="1:17" ht="18.75" customHeight="1" x14ac:dyDescent="0.3">
      <c r="A36" s="2">
        <f>A34</f>
        <v>12</v>
      </c>
      <c r="B36" s="3" t="s">
        <v>127</v>
      </c>
      <c r="C36" s="3" t="s">
        <v>72</v>
      </c>
      <c r="D36" s="3">
        <v>46</v>
      </c>
      <c r="E36" s="3" t="s">
        <v>148</v>
      </c>
      <c r="F36" s="3">
        <v>26</v>
      </c>
      <c r="G36" s="3" t="s">
        <v>18</v>
      </c>
      <c r="H36" s="5">
        <f>(D36/52)*3</f>
        <v>2.6538461538461537</v>
      </c>
      <c r="K36" s="2">
        <f>K35</f>
        <v>13</v>
      </c>
      <c r="L36" s="3" t="s">
        <v>131</v>
      </c>
      <c r="M36" s="3" t="s">
        <v>81</v>
      </c>
      <c r="N36" s="3">
        <v>15</v>
      </c>
      <c r="O36" s="3">
        <v>34</v>
      </c>
      <c r="P36" s="3" t="s">
        <v>15</v>
      </c>
      <c r="Q36" s="5">
        <f t="shared" si="3"/>
        <v>0.44117647058823528</v>
      </c>
    </row>
    <row r="37" spans="1:17" ht="18.75" customHeight="1" x14ac:dyDescent="0.3">
      <c r="A37" s="2">
        <f>A36</f>
        <v>12</v>
      </c>
      <c r="B37" s="3" t="s">
        <v>132</v>
      </c>
      <c r="C37" s="3" t="s">
        <v>35</v>
      </c>
      <c r="D37" s="3">
        <v>90</v>
      </c>
      <c r="E37" s="3">
        <v>102</v>
      </c>
      <c r="F37" s="3">
        <v>34</v>
      </c>
      <c r="G37" s="3" t="s">
        <v>18</v>
      </c>
      <c r="H37" s="5">
        <f>(D37/102)*3</f>
        <v>2.6470588235294117</v>
      </c>
      <c r="K37" s="2">
        <f>K36+2</f>
        <v>15</v>
      </c>
      <c r="L37" s="3" t="s">
        <v>131</v>
      </c>
      <c r="M37" s="3" t="s">
        <v>85</v>
      </c>
      <c r="N37" s="3">
        <v>17</v>
      </c>
      <c r="O37" s="3">
        <v>38</v>
      </c>
      <c r="P37" s="3" t="s">
        <v>15</v>
      </c>
      <c r="Q37" s="5">
        <f t="shared" si="3"/>
        <v>0.44736842105263158</v>
      </c>
    </row>
  </sheetData>
  <mergeCells count="4">
    <mergeCell ref="A21:H21"/>
    <mergeCell ref="K1:Q1"/>
    <mergeCell ref="K21:Q21"/>
    <mergeCell ref="A1:H1"/>
  </mergeCells>
  <conditionalFormatting sqref="H3:H17"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3:H35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3:H3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5:H35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6:H3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7"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3:Q37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27"/>
  <sheetViews>
    <sheetView topLeftCell="D1" workbookViewId="0">
      <selection activeCell="J20" sqref="J20"/>
    </sheetView>
  </sheetViews>
  <sheetFormatPr baseColWidth="10" defaultRowHeight="15" x14ac:dyDescent="0.25"/>
  <cols>
    <col min="1" max="1" width="12.42578125" customWidth="1"/>
    <col min="2" max="2" width="24.85546875" customWidth="1"/>
    <col min="3" max="3" width="19.140625" customWidth="1"/>
    <col min="4" max="4" width="14.5703125" customWidth="1"/>
    <col min="5" max="5" width="24.85546875" customWidth="1"/>
    <col min="6" max="6" width="19" customWidth="1"/>
    <col min="7" max="7" width="31.85546875" customWidth="1"/>
    <col min="10" max="10" width="13.28515625" customWidth="1"/>
    <col min="11" max="11" width="25.5703125" customWidth="1"/>
    <col min="12" max="12" width="15.7109375" customWidth="1"/>
    <col min="13" max="13" width="19" bestFit="1" customWidth="1"/>
    <col min="14" max="14" width="23.42578125" bestFit="1" customWidth="1"/>
    <col min="15" max="15" width="15.140625" customWidth="1"/>
    <col min="16" max="16" width="33.5703125" bestFit="1" customWidth="1"/>
  </cols>
  <sheetData>
    <row r="1" spans="1:16" ht="18.75" customHeight="1" x14ac:dyDescent="0.3">
      <c r="A1" s="21" t="s">
        <v>329</v>
      </c>
      <c r="B1" s="20"/>
      <c r="C1" s="20"/>
      <c r="D1" s="20"/>
      <c r="E1" s="20"/>
      <c r="F1" s="20"/>
      <c r="G1" s="20"/>
      <c r="J1" s="21" t="s">
        <v>330</v>
      </c>
      <c r="K1" s="20"/>
      <c r="L1" s="20"/>
      <c r="M1" s="20"/>
      <c r="N1" s="20"/>
      <c r="O1" s="20"/>
      <c r="P1" s="20"/>
    </row>
    <row r="2" spans="1:16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J2" s="2" t="s">
        <v>4</v>
      </c>
      <c r="K2" s="2" t="s">
        <v>5</v>
      </c>
      <c r="L2" s="2" t="s">
        <v>6</v>
      </c>
      <c r="M2" s="2" t="s">
        <v>11</v>
      </c>
      <c r="N2" s="2" t="s">
        <v>8</v>
      </c>
      <c r="O2" s="2" t="s">
        <v>9</v>
      </c>
      <c r="P2" s="2" t="s">
        <v>12</v>
      </c>
    </row>
    <row r="3" spans="1:16" ht="18.75" customHeight="1" x14ac:dyDescent="0.3">
      <c r="A3" s="2">
        <f>1</f>
        <v>1</v>
      </c>
      <c r="B3" s="3" t="s">
        <v>145</v>
      </c>
      <c r="C3" s="3" t="s">
        <v>331</v>
      </c>
      <c r="D3" s="3">
        <v>76</v>
      </c>
      <c r="E3" s="3">
        <v>34</v>
      </c>
      <c r="F3" s="3" t="s">
        <v>15</v>
      </c>
      <c r="G3" s="5">
        <f t="shared" ref="G3:G12" si="0">D3/E3</f>
        <v>2.2352941176470589</v>
      </c>
      <c r="J3" s="2">
        <v>1</v>
      </c>
      <c r="K3" s="3" t="s">
        <v>163</v>
      </c>
      <c r="L3" s="3" t="s">
        <v>331</v>
      </c>
      <c r="M3" s="3">
        <v>87</v>
      </c>
      <c r="N3" s="3">
        <v>34</v>
      </c>
      <c r="O3" s="3" t="s">
        <v>18</v>
      </c>
      <c r="P3" s="5">
        <f t="shared" ref="P3:P13" si="1">M3/N3</f>
        <v>2.5588235294117645</v>
      </c>
    </row>
    <row r="4" spans="1:16" ht="18.75" customHeight="1" x14ac:dyDescent="0.3">
      <c r="A4" s="2">
        <f>A3+1</f>
        <v>2</v>
      </c>
      <c r="B4" s="3" t="s">
        <v>332</v>
      </c>
      <c r="C4" s="3" t="s">
        <v>21</v>
      </c>
      <c r="D4" s="3">
        <v>66</v>
      </c>
      <c r="E4" s="3">
        <v>30</v>
      </c>
      <c r="F4" s="3" t="s">
        <v>15</v>
      </c>
      <c r="G4" s="5">
        <f t="shared" si="0"/>
        <v>2.2000000000000002</v>
      </c>
      <c r="J4" s="2">
        <f>J3+1</f>
        <v>2</v>
      </c>
      <c r="K4" s="3" t="s">
        <v>333</v>
      </c>
      <c r="L4" s="3" t="s">
        <v>133</v>
      </c>
      <c r="M4" s="3">
        <v>79</v>
      </c>
      <c r="N4" s="3">
        <v>32</v>
      </c>
      <c r="O4" s="3" t="s">
        <v>18</v>
      </c>
      <c r="P4" s="5">
        <f t="shared" si="1"/>
        <v>2.46875</v>
      </c>
    </row>
    <row r="5" spans="1:16" ht="18.75" customHeight="1" x14ac:dyDescent="0.3">
      <c r="A5" s="2">
        <f>A4+1</f>
        <v>3</v>
      </c>
      <c r="B5" s="3" t="s">
        <v>166</v>
      </c>
      <c r="C5" s="3" t="s">
        <v>331</v>
      </c>
      <c r="D5" s="3">
        <v>74</v>
      </c>
      <c r="E5" s="3">
        <v>34</v>
      </c>
      <c r="F5" s="3" t="s">
        <v>44</v>
      </c>
      <c r="G5" s="5">
        <f t="shared" si="0"/>
        <v>2.1764705882352939</v>
      </c>
      <c r="J5" s="2">
        <f>J4</f>
        <v>2</v>
      </c>
      <c r="K5" s="3" t="s">
        <v>145</v>
      </c>
      <c r="L5" s="3" t="s">
        <v>37</v>
      </c>
      <c r="M5" s="3">
        <v>74</v>
      </c>
      <c r="N5" s="3">
        <v>30</v>
      </c>
      <c r="O5" s="3" t="s">
        <v>15</v>
      </c>
      <c r="P5" s="5">
        <f t="shared" si="1"/>
        <v>2.4666666666666668</v>
      </c>
    </row>
    <row r="6" spans="1:16" ht="18.75" customHeight="1" x14ac:dyDescent="0.3">
      <c r="A6" s="2">
        <f>A5+1</f>
        <v>4</v>
      </c>
      <c r="B6" s="3" t="s">
        <v>145</v>
      </c>
      <c r="C6" s="3" t="s">
        <v>37</v>
      </c>
      <c r="D6" s="3">
        <v>65</v>
      </c>
      <c r="E6" s="3">
        <v>30</v>
      </c>
      <c r="F6" s="3" t="s">
        <v>15</v>
      </c>
      <c r="G6" s="5">
        <f t="shared" si="0"/>
        <v>2.1666666666666665</v>
      </c>
      <c r="J6" s="2">
        <f>J5+2</f>
        <v>4</v>
      </c>
      <c r="K6" s="3" t="s">
        <v>166</v>
      </c>
      <c r="L6" s="3" t="s">
        <v>35</v>
      </c>
      <c r="M6" s="3">
        <v>80</v>
      </c>
      <c r="N6" s="3">
        <v>33</v>
      </c>
      <c r="O6" s="3" t="s">
        <v>18</v>
      </c>
      <c r="P6" s="5">
        <f t="shared" si="1"/>
        <v>2.4242424242424243</v>
      </c>
    </row>
    <row r="7" spans="1:16" ht="18.75" customHeight="1" x14ac:dyDescent="0.3">
      <c r="A7" s="2">
        <f>A6+1</f>
        <v>5</v>
      </c>
      <c r="B7" s="3" t="s">
        <v>166</v>
      </c>
      <c r="C7" s="3" t="s">
        <v>23</v>
      </c>
      <c r="D7" s="3">
        <v>64</v>
      </c>
      <c r="E7" s="3">
        <v>30</v>
      </c>
      <c r="F7" s="3" t="s">
        <v>15</v>
      </c>
      <c r="G7" s="5">
        <f t="shared" si="0"/>
        <v>2.1333333333333333</v>
      </c>
      <c r="J7" s="2">
        <f>J6+1</f>
        <v>5</v>
      </c>
      <c r="K7" s="3" t="s">
        <v>334</v>
      </c>
      <c r="L7" s="3" t="s">
        <v>197</v>
      </c>
      <c r="M7" s="3">
        <v>70</v>
      </c>
      <c r="N7" s="3">
        <v>30</v>
      </c>
      <c r="O7" s="3" t="s">
        <v>18</v>
      </c>
      <c r="P7" s="5">
        <f t="shared" si="1"/>
        <v>2.3333333333333335</v>
      </c>
    </row>
    <row r="8" spans="1:16" ht="18.75" customHeight="1" x14ac:dyDescent="0.3">
      <c r="A8" s="2">
        <f>A7</f>
        <v>5</v>
      </c>
      <c r="B8" s="3" t="s">
        <v>334</v>
      </c>
      <c r="C8" s="3" t="s">
        <v>59</v>
      </c>
      <c r="D8" s="3">
        <v>64</v>
      </c>
      <c r="E8" s="3">
        <v>30</v>
      </c>
      <c r="F8" s="3" t="s">
        <v>15</v>
      </c>
      <c r="G8" s="5">
        <f t="shared" si="0"/>
        <v>2.1333333333333333</v>
      </c>
      <c r="J8" s="2">
        <f>J7+2</f>
        <v>7</v>
      </c>
      <c r="K8" s="3" t="s">
        <v>335</v>
      </c>
      <c r="L8" s="3" t="s">
        <v>32</v>
      </c>
      <c r="M8" s="3">
        <v>76</v>
      </c>
      <c r="N8" s="3">
        <v>33</v>
      </c>
      <c r="O8" s="3" t="s">
        <v>98</v>
      </c>
      <c r="P8" s="5">
        <f t="shared" si="1"/>
        <v>2.3030303030303032</v>
      </c>
    </row>
    <row r="9" spans="1:16" ht="18.75" customHeight="1" x14ac:dyDescent="0.3">
      <c r="A9" s="2">
        <f>A8</f>
        <v>5</v>
      </c>
      <c r="B9" s="3" t="s">
        <v>336</v>
      </c>
      <c r="C9" s="3" t="s">
        <v>37</v>
      </c>
      <c r="D9" s="3">
        <v>64</v>
      </c>
      <c r="E9" s="3">
        <v>30</v>
      </c>
      <c r="F9" s="3" t="s">
        <v>44</v>
      </c>
      <c r="G9" s="5">
        <f t="shared" si="0"/>
        <v>2.1333333333333333</v>
      </c>
      <c r="J9" s="2">
        <f>J8</f>
        <v>7</v>
      </c>
      <c r="K9" s="3" t="s">
        <v>334</v>
      </c>
      <c r="L9" s="3" t="s">
        <v>37</v>
      </c>
      <c r="M9" s="3">
        <v>69</v>
      </c>
      <c r="N9" s="3">
        <v>30</v>
      </c>
      <c r="O9" s="3" t="s">
        <v>18</v>
      </c>
      <c r="P9" s="5">
        <f t="shared" si="1"/>
        <v>2.2999999999999998</v>
      </c>
    </row>
    <row r="10" spans="1:16" ht="18.75" customHeight="1" x14ac:dyDescent="0.3">
      <c r="A10" s="2">
        <f>A9+3</f>
        <v>8</v>
      </c>
      <c r="B10" s="3" t="s">
        <v>333</v>
      </c>
      <c r="C10" s="3" t="s">
        <v>231</v>
      </c>
      <c r="D10" s="3">
        <v>46</v>
      </c>
      <c r="E10" s="3">
        <v>22</v>
      </c>
      <c r="F10" s="3" t="s">
        <v>15</v>
      </c>
      <c r="G10" s="5">
        <f t="shared" si="0"/>
        <v>2.0909090909090908</v>
      </c>
      <c r="J10" s="2">
        <f>J9+1</f>
        <v>8</v>
      </c>
      <c r="K10" s="3" t="s">
        <v>335</v>
      </c>
      <c r="L10" s="3" t="s">
        <v>26</v>
      </c>
      <c r="M10" s="3">
        <v>75</v>
      </c>
      <c r="N10" s="3">
        <v>33</v>
      </c>
      <c r="O10" s="3" t="s">
        <v>124</v>
      </c>
      <c r="P10" s="5">
        <f t="shared" si="1"/>
        <v>2.2727272727272729</v>
      </c>
    </row>
    <row r="11" spans="1:16" ht="18.75" customHeight="1" x14ac:dyDescent="0.3">
      <c r="A11" s="2">
        <f>A10+1</f>
        <v>9</v>
      </c>
      <c r="B11" s="3" t="s">
        <v>337</v>
      </c>
      <c r="C11" s="3" t="s">
        <v>40</v>
      </c>
      <c r="D11" s="3">
        <v>62</v>
      </c>
      <c r="E11" s="3">
        <v>30</v>
      </c>
      <c r="F11" s="3" t="s">
        <v>15</v>
      </c>
      <c r="G11" s="5">
        <f t="shared" si="0"/>
        <v>2.0666666666666669</v>
      </c>
      <c r="J11" s="2">
        <f>J10+1</f>
        <v>9</v>
      </c>
      <c r="K11" s="3" t="s">
        <v>163</v>
      </c>
      <c r="L11" s="3" t="s">
        <v>50</v>
      </c>
      <c r="M11" s="3">
        <v>77</v>
      </c>
      <c r="N11" s="3">
        <v>34</v>
      </c>
      <c r="O11" s="3" t="s">
        <v>18</v>
      </c>
      <c r="P11" s="5">
        <f t="shared" si="1"/>
        <v>2.2647058823529411</v>
      </c>
    </row>
    <row r="12" spans="1:16" ht="18.75" customHeight="1" x14ac:dyDescent="0.3">
      <c r="A12" s="2">
        <f>A11</f>
        <v>9</v>
      </c>
      <c r="B12" s="3" t="s">
        <v>337</v>
      </c>
      <c r="C12" s="3" t="s">
        <v>21</v>
      </c>
      <c r="D12" s="3">
        <v>62</v>
      </c>
      <c r="E12" s="3">
        <v>30</v>
      </c>
      <c r="F12" s="3" t="s">
        <v>15</v>
      </c>
      <c r="G12" s="5">
        <f t="shared" si="0"/>
        <v>2.0666666666666669</v>
      </c>
      <c r="J12" s="2">
        <f>J11+1</f>
        <v>10</v>
      </c>
      <c r="K12" s="3" t="s">
        <v>338</v>
      </c>
      <c r="L12" s="3" t="s">
        <v>59</v>
      </c>
      <c r="M12" s="3">
        <v>67</v>
      </c>
      <c r="N12" s="3">
        <v>30</v>
      </c>
      <c r="O12" s="3" t="s">
        <v>18</v>
      </c>
      <c r="P12" s="5">
        <f t="shared" si="1"/>
        <v>2.2333333333333334</v>
      </c>
    </row>
    <row r="13" spans="1:16" ht="18.75" customHeight="1" x14ac:dyDescent="0.3">
      <c r="J13" s="2">
        <f>J12</f>
        <v>10</v>
      </c>
      <c r="K13" s="3" t="s">
        <v>334</v>
      </c>
      <c r="L13" s="3" t="s">
        <v>59</v>
      </c>
      <c r="M13" s="3">
        <v>67</v>
      </c>
      <c r="N13" s="3">
        <v>30</v>
      </c>
      <c r="O13" s="3" t="s">
        <v>15</v>
      </c>
      <c r="P13" s="5">
        <f t="shared" si="1"/>
        <v>2.2333333333333334</v>
      </c>
    </row>
    <row r="16" spans="1:16" ht="18.75" customHeight="1" x14ac:dyDescent="0.3">
      <c r="A16" s="21" t="s">
        <v>339</v>
      </c>
      <c r="B16" s="20"/>
      <c r="C16" s="20"/>
      <c r="D16" s="20"/>
      <c r="E16" s="20"/>
      <c r="F16" s="20"/>
      <c r="G16" s="20"/>
      <c r="J16" s="21" t="s">
        <v>340</v>
      </c>
      <c r="K16" s="20"/>
      <c r="L16" s="20"/>
      <c r="M16" s="20"/>
      <c r="N16" s="20"/>
      <c r="O16" s="20"/>
      <c r="P16" s="20"/>
    </row>
    <row r="17" spans="1:16" ht="18.75" customHeight="1" x14ac:dyDescent="0.3">
      <c r="A17" s="2" t="s">
        <v>4</v>
      </c>
      <c r="B17" s="2" t="s">
        <v>5</v>
      </c>
      <c r="C17" s="2" t="s">
        <v>6</v>
      </c>
      <c r="D17" s="2" t="s">
        <v>7</v>
      </c>
      <c r="E17" s="2" t="s">
        <v>8</v>
      </c>
      <c r="F17" s="2" t="s">
        <v>9</v>
      </c>
      <c r="G17" s="2" t="s">
        <v>10</v>
      </c>
      <c r="J17" s="2" t="s">
        <v>4</v>
      </c>
      <c r="K17" s="2" t="s">
        <v>5</v>
      </c>
      <c r="L17" s="2" t="s">
        <v>6</v>
      </c>
      <c r="M17" s="2" t="s">
        <v>201</v>
      </c>
      <c r="N17" s="2" t="s">
        <v>8</v>
      </c>
      <c r="O17" s="2" t="s">
        <v>9</v>
      </c>
      <c r="P17" s="2" t="s">
        <v>202</v>
      </c>
    </row>
    <row r="18" spans="1:16" ht="18.75" customHeight="1" x14ac:dyDescent="0.3">
      <c r="A18" s="2">
        <v>1</v>
      </c>
      <c r="B18" s="3" t="s">
        <v>163</v>
      </c>
      <c r="C18" s="3" t="s">
        <v>331</v>
      </c>
      <c r="D18" s="3">
        <v>85</v>
      </c>
      <c r="E18" s="3">
        <v>34</v>
      </c>
      <c r="F18" s="3" t="s">
        <v>18</v>
      </c>
      <c r="G18" s="5">
        <f t="shared" ref="G18:G27" si="2">D18/E18</f>
        <v>2.5</v>
      </c>
      <c r="J18" s="2">
        <v>1</v>
      </c>
      <c r="K18" s="3" t="s">
        <v>332</v>
      </c>
      <c r="L18" s="3" t="s">
        <v>23</v>
      </c>
      <c r="M18" s="3">
        <v>14</v>
      </c>
      <c r="N18" s="3">
        <v>30</v>
      </c>
      <c r="O18" s="3" t="s">
        <v>18</v>
      </c>
      <c r="P18" s="5">
        <f t="shared" ref="P18:P27" si="3">M18/N18</f>
        <v>0.46666666666666667</v>
      </c>
    </row>
    <row r="19" spans="1:16" ht="18.75" customHeight="1" x14ac:dyDescent="0.3">
      <c r="A19" s="2">
        <f>A18+1</f>
        <v>2</v>
      </c>
      <c r="B19" s="3" t="s">
        <v>333</v>
      </c>
      <c r="C19" s="3" t="s">
        <v>133</v>
      </c>
      <c r="D19" s="3">
        <v>79</v>
      </c>
      <c r="E19" s="3">
        <v>32</v>
      </c>
      <c r="F19" s="3" t="s">
        <v>18</v>
      </c>
      <c r="G19" s="5">
        <f t="shared" si="2"/>
        <v>2.46875</v>
      </c>
      <c r="J19" s="2">
        <f>J18+1</f>
        <v>2</v>
      </c>
      <c r="K19" s="3" t="s">
        <v>334</v>
      </c>
      <c r="L19" s="3" t="s">
        <v>21</v>
      </c>
      <c r="M19" s="3">
        <v>18</v>
      </c>
      <c r="N19" s="3">
        <v>30</v>
      </c>
      <c r="O19" s="3" t="s">
        <v>18</v>
      </c>
      <c r="P19" s="5">
        <f t="shared" si="3"/>
        <v>0.6</v>
      </c>
    </row>
    <row r="20" spans="1:16" ht="18.75" customHeight="1" x14ac:dyDescent="0.3">
      <c r="A20" s="2">
        <f>A19</f>
        <v>2</v>
      </c>
      <c r="B20" s="3" t="s">
        <v>334</v>
      </c>
      <c r="C20" s="3" t="s">
        <v>21</v>
      </c>
      <c r="D20" s="3">
        <v>74</v>
      </c>
      <c r="E20" s="3">
        <v>30</v>
      </c>
      <c r="F20" s="3" t="s">
        <v>18</v>
      </c>
      <c r="G20" s="5">
        <f t="shared" si="2"/>
        <v>2.4666666666666668</v>
      </c>
      <c r="J20" s="2">
        <f>J19</f>
        <v>2</v>
      </c>
      <c r="K20" s="10" t="s">
        <v>341</v>
      </c>
      <c r="L20" s="3" t="s">
        <v>20</v>
      </c>
      <c r="M20" s="3">
        <v>18</v>
      </c>
      <c r="N20" s="3">
        <v>30</v>
      </c>
      <c r="O20" s="3" t="s">
        <v>44</v>
      </c>
      <c r="P20" s="5">
        <f t="shared" si="3"/>
        <v>0.6</v>
      </c>
    </row>
    <row r="21" spans="1:16" ht="18.75" customHeight="1" x14ac:dyDescent="0.3">
      <c r="A21" s="2">
        <f>A20+2</f>
        <v>4</v>
      </c>
      <c r="B21" s="3" t="s">
        <v>163</v>
      </c>
      <c r="C21" s="3" t="s">
        <v>50</v>
      </c>
      <c r="D21" s="3">
        <v>83</v>
      </c>
      <c r="E21" s="3">
        <v>34</v>
      </c>
      <c r="F21" s="3" t="s">
        <v>18</v>
      </c>
      <c r="G21" s="5">
        <f t="shared" si="2"/>
        <v>2.4411764705882355</v>
      </c>
      <c r="J21" s="2">
        <f>J19+2</f>
        <v>4</v>
      </c>
      <c r="K21" s="3" t="s">
        <v>166</v>
      </c>
      <c r="L21" s="3" t="s">
        <v>23</v>
      </c>
      <c r="M21" s="3">
        <v>19</v>
      </c>
      <c r="N21" s="3">
        <v>30</v>
      </c>
      <c r="O21" s="3" t="s">
        <v>15</v>
      </c>
      <c r="P21" s="5">
        <f t="shared" si="3"/>
        <v>0.6333333333333333</v>
      </c>
    </row>
    <row r="22" spans="1:16" ht="18.75" customHeight="1" x14ac:dyDescent="0.3">
      <c r="A22" s="2">
        <f>A21+1</f>
        <v>5</v>
      </c>
      <c r="B22" s="3" t="s">
        <v>332</v>
      </c>
      <c r="C22" s="3" t="s">
        <v>23</v>
      </c>
      <c r="D22" s="3">
        <v>71</v>
      </c>
      <c r="E22" s="3">
        <v>30</v>
      </c>
      <c r="F22" s="3" t="s">
        <v>18</v>
      </c>
      <c r="G22" s="5">
        <f t="shared" si="2"/>
        <v>2.3666666666666667</v>
      </c>
      <c r="J22" s="2">
        <f>J21</f>
        <v>4</v>
      </c>
      <c r="K22" s="3" t="s">
        <v>332</v>
      </c>
      <c r="L22" s="3" t="s">
        <v>21</v>
      </c>
      <c r="M22" s="3">
        <v>19</v>
      </c>
      <c r="N22" s="3">
        <v>30</v>
      </c>
      <c r="O22" s="3" t="s">
        <v>15</v>
      </c>
      <c r="P22" s="5">
        <f t="shared" si="3"/>
        <v>0.6333333333333333</v>
      </c>
    </row>
    <row r="23" spans="1:16" ht="18.75" customHeight="1" x14ac:dyDescent="0.3">
      <c r="A23" s="2">
        <f>A22+1</f>
        <v>6</v>
      </c>
      <c r="B23" s="3" t="s">
        <v>166</v>
      </c>
      <c r="C23" s="3" t="s">
        <v>32</v>
      </c>
      <c r="D23" s="3">
        <v>78</v>
      </c>
      <c r="E23" s="3">
        <v>33</v>
      </c>
      <c r="F23" s="3" t="s">
        <v>18</v>
      </c>
      <c r="G23" s="5">
        <f t="shared" si="2"/>
        <v>2.3636363636363638</v>
      </c>
      <c r="J23" s="2">
        <f>J21</f>
        <v>4</v>
      </c>
      <c r="K23" s="3" t="s">
        <v>334</v>
      </c>
      <c r="L23" s="3" t="s">
        <v>23</v>
      </c>
      <c r="M23" s="3">
        <v>19</v>
      </c>
      <c r="N23" s="3">
        <v>30</v>
      </c>
      <c r="O23" s="3" t="s">
        <v>98</v>
      </c>
      <c r="P23" s="5">
        <f t="shared" si="3"/>
        <v>0.6333333333333333</v>
      </c>
    </row>
    <row r="24" spans="1:16" ht="18.75" customHeight="1" x14ac:dyDescent="0.3">
      <c r="A24" s="2">
        <f>A23+1</f>
        <v>7</v>
      </c>
      <c r="B24" s="3" t="s">
        <v>166</v>
      </c>
      <c r="C24" s="3" t="s">
        <v>30</v>
      </c>
      <c r="D24" s="3">
        <v>76</v>
      </c>
      <c r="E24" s="3">
        <v>33</v>
      </c>
      <c r="F24" s="3" t="s">
        <v>18</v>
      </c>
      <c r="G24" s="5">
        <f t="shared" si="2"/>
        <v>2.3030303030303032</v>
      </c>
      <c r="J24" s="2">
        <f>J23+3</f>
        <v>7</v>
      </c>
      <c r="K24" s="3" t="s">
        <v>166</v>
      </c>
      <c r="L24" s="3" t="s">
        <v>32</v>
      </c>
      <c r="M24" s="3">
        <v>22</v>
      </c>
      <c r="N24" s="3">
        <v>33</v>
      </c>
      <c r="O24" s="3" t="s">
        <v>18</v>
      </c>
      <c r="P24" s="5">
        <f t="shared" si="3"/>
        <v>0.66666666666666663</v>
      </c>
    </row>
    <row r="25" spans="1:16" ht="18.75" customHeight="1" x14ac:dyDescent="0.3">
      <c r="A25" s="2">
        <f>A24</f>
        <v>7</v>
      </c>
      <c r="B25" s="3" t="s">
        <v>166</v>
      </c>
      <c r="C25" s="3" t="s">
        <v>31</v>
      </c>
      <c r="D25" s="3">
        <v>76</v>
      </c>
      <c r="E25" s="3">
        <v>33</v>
      </c>
      <c r="F25" s="3" t="s">
        <v>18</v>
      </c>
      <c r="G25" s="5">
        <f t="shared" si="2"/>
        <v>2.3030303030303032</v>
      </c>
      <c r="J25" s="2">
        <f>J24+1</f>
        <v>8</v>
      </c>
      <c r="K25" s="3" t="s">
        <v>166</v>
      </c>
      <c r="L25" s="3" t="s">
        <v>30</v>
      </c>
      <c r="M25" s="3">
        <v>23</v>
      </c>
      <c r="N25" s="3">
        <v>33</v>
      </c>
      <c r="O25" s="3" t="s">
        <v>18</v>
      </c>
      <c r="P25" s="5">
        <f t="shared" si="3"/>
        <v>0.69696969696969702</v>
      </c>
    </row>
    <row r="26" spans="1:16" ht="18.75" customHeight="1" x14ac:dyDescent="0.3">
      <c r="A26" s="2">
        <f>A25</f>
        <v>7</v>
      </c>
      <c r="B26" s="3" t="s">
        <v>334</v>
      </c>
      <c r="C26" s="3" t="s">
        <v>56</v>
      </c>
      <c r="D26" s="3">
        <v>69</v>
      </c>
      <c r="E26" s="3">
        <v>30</v>
      </c>
      <c r="F26" s="3" t="s">
        <v>18</v>
      </c>
      <c r="G26" s="5">
        <f t="shared" si="2"/>
        <v>2.2999999999999998</v>
      </c>
      <c r="J26" s="2">
        <f>J25</f>
        <v>8</v>
      </c>
      <c r="K26" s="3" t="s">
        <v>334</v>
      </c>
      <c r="L26" s="3" t="s">
        <v>56</v>
      </c>
      <c r="M26" s="3">
        <v>21</v>
      </c>
      <c r="N26" s="3">
        <v>30</v>
      </c>
      <c r="O26" s="3" t="s">
        <v>18</v>
      </c>
      <c r="P26" s="5">
        <f t="shared" si="3"/>
        <v>0.7</v>
      </c>
    </row>
    <row r="27" spans="1:16" ht="18.75" customHeight="1" x14ac:dyDescent="0.3">
      <c r="A27" s="2">
        <f>A26+3</f>
        <v>10</v>
      </c>
      <c r="B27" s="3" t="s">
        <v>145</v>
      </c>
      <c r="C27" s="3" t="s">
        <v>331</v>
      </c>
      <c r="D27" s="3">
        <v>76</v>
      </c>
      <c r="E27" s="3">
        <v>34</v>
      </c>
      <c r="F27" s="3" t="s">
        <v>15</v>
      </c>
      <c r="G27" s="5">
        <f t="shared" si="2"/>
        <v>2.2352941176470589</v>
      </c>
      <c r="J27" s="2">
        <f>J26+2</f>
        <v>10</v>
      </c>
      <c r="K27" s="3" t="s">
        <v>333</v>
      </c>
      <c r="L27" s="3" t="s">
        <v>133</v>
      </c>
      <c r="M27" s="3">
        <v>23</v>
      </c>
      <c r="N27" s="3">
        <v>32</v>
      </c>
      <c r="O27" s="3" t="s">
        <v>18</v>
      </c>
      <c r="P27" s="5">
        <f t="shared" si="3"/>
        <v>0.71875</v>
      </c>
    </row>
  </sheetData>
  <mergeCells count="4">
    <mergeCell ref="J1:P1"/>
    <mergeCell ref="J16:P16"/>
    <mergeCell ref="A16:G16"/>
    <mergeCell ref="A1:G1"/>
  </mergeCells>
  <conditionalFormatting sqref="G3:G12"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8:G26"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8:G27"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7"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13"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8:P27">
    <cfRule type="colorScale" priority="5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euil1"/>
  <dimension ref="A1:Q30"/>
  <sheetViews>
    <sheetView topLeftCell="E1" workbookViewId="0">
      <selection activeCell="L14" sqref="L14"/>
    </sheetView>
  </sheetViews>
  <sheetFormatPr baseColWidth="10" defaultRowHeight="15" x14ac:dyDescent="0.25"/>
  <cols>
    <col min="1" max="1" width="12.140625" customWidth="1"/>
    <col min="2" max="2" width="24.42578125" customWidth="1"/>
    <col min="3" max="3" width="17.7109375" customWidth="1"/>
    <col min="4" max="4" width="14" bestFit="1" customWidth="1"/>
    <col min="5" max="5" width="30.7109375" bestFit="1" customWidth="1"/>
    <col min="6" max="6" width="23.42578125" bestFit="1" customWidth="1"/>
    <col min="7" max="7" width="17" customWidth="1"/>
    <col min="8" max="8" width="33.28515625" customWidth="1"/>
    <col min="11" max="11" width="10.140625" bestFit="1" customWidth="1"/>
    <col min="12" max="12" width="24.28515625" bestFit="1" customWidth="1"/>
    <col min="13" max="13" width="13.5703125" bestFit="1" customWidth="1"/>
    <col min="14" max="14" width="19" bestFit="1" customWidth="1"/>
    <col min="15" max="15" width="23.42578125" bestFit="1" customWidth="1"/>
    <col min="16" max="16" width="13.85546875" bestFit="1" customWidth="1"/>
    <col min="17" max="17" width="33.5703125" bestFit="1" customWidth="1"/>
  </cols>
  <sheetData>
    <row r="1" spans="1:17" ht="18.75" customHeight="1" x14ac:dyDescent="0.3">
      <c r="A1" s="21" t="s">
        <v>342</v>
      </c>
      <c r="B1" s="20"/>
      <c r="C1" s="20"/>
      <c r="D1" s="20"/>
      <c r="E1" s="20"/>
      <c r="F1" s="20"/>
      <c r="G1" s="20"/>
      <c r="H1" s="20"/>
      <c r="K1" s="21" t="s">
        <v>343</v>
      </c>
      <c r="L1" s="20"/>
      <c r="M1" s="20"/>
      <c r="N1" s="20"/>
      <c r="O1" s="20"/>
      <c r="P1" s="20"/>
      <c r="Q1" s="20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10</v>
      </c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</row>
    <row r="3" spans="1:17" ht="18.75" customHeight="1" x14ac:dyDescent="0.3">
      <c r="A3" s="2">
        <v>1</v>
      </c>
      <c r="B3" s="3" t="s">
        <v>145</v>
      </c>
      <c r="C3" s="3">
        <v>1968</v>
      </c>
      <c r="D3" s="3">
        <v>48</v>
      </c>
      <c r="E3" s="3" t="s">
        <v>344</v>
      </c>
      <c r="F3" s="3">
        <v>30</v>
      </c>
      <c r="G3" s="3" t="s">
        <v>15</v>
      </c>
      <c r="H3" s="5">
        <f>(D3/60)*3</f>
        <v>2.4000000000000004</v>
      </c>
      <c r="K3" s="2">
        <f>1</f>
        <v>1</v>
      </c>
      <c r="L3" s="3" t="s">
        <v>140</v>
      </c>
      <c r="M3" s="3">
        <v>1955</v>
      </c>
      <c r="N3" s="3">
        <v>99</v>
      </c>
      <c r="O3" s="3">
        <v>26</v>
      </c>
      <c r="P3" s="3" t="s">
        <v>18</v>
      </c>
      <c r="Q3" s="5">
        <f t="shared" ref="Q3:Q12" si="0">N3/O3</f>
        <v>3.8076923076923075</v>
      </c>
    </row>
    <row r="4" spans="1:17" ht="18.75" customHeight="1" x14ac:dyDescent="0.3">
      <c r="A4" s="2">
        <f>A3+1</f>
        <v>2</v>
      </c>
      <c r="B4" s="3" t="s">
        <v>163</v>
      </c>
      <c r="C4" s="3">
        <v>1955</v>
      </c>
      <c r="D4" s="3">
        <v>41</v>
      </c>
      <c r="E4" s="3" t="s">
        <v>148</v>
      </c>
      <c r="F4" s="3">
        <v>26</v>
      </c>
      <c r="G4" s="3" t="s">
        <v>15</v>
      </c>
      <c r="H4" s="5">
        <f>(D4/52)*3</f>
        <v>2.3653846153846154</v>
      </c>
      <c r="K4" s="2">
        <f t="shared" ref="K4:K12" si="1">K3+1</f>
        <v>2</v>
      </c>
      <c r="L4" s="3" t="s">
        <v>145</v>
      </c>
      <c r="M4" s="3">
        <v>1968</v>
      </c>
      <c r="N4" s="3">
        <v>102</v>
      </c>
      <c r="O4" s="3">
        <v>30</v>
      </c>
      <c r="P4" s="3" t="s">
        <v>15</v>
      </c>
      <c r="Q4" s="5">
        <f t="shared" si="0"/>
        <v>3.4</v>
      </c>
    </row>
    <row r="5" spans="1:17" ht="18.75" customHeight="1" x14ac:dyDescent="0.3">
      <c r="A5" s="2">
        <f>A4+1</f>
        <v>3</v>
      </c>
      <c r="B5" s="3" t="s">
        <v>345</v>
      </c>
      <c r="C5" s="3" t="s">
        <v>154</v>
      </c>
      <c r="D5" s="3">
        <v>45</v>
      </c>
      <c r="E5" s="3" t="s">
        <v>344</v>
      </c>
      <c r="F5" s="3">
        <v>30</v>
      </c>
      <c r="G5" s="3" t="s">
        <v>15</v>
      </c>
      <c r="H5" s="5">
        <f>(D5/60)*3</f>
        <v>2.25</v>
      </c>
      <c r="K5" s="2">
        <f t="shared" si="1"/>
        <v>3</v>
      </c>
      <c r="L5" s="3" t="s">
        <v>149</v>
      </c>
      <c r="M5" s="3">
        <v>1957</v>
      </c>
      <c r="N5" s="3">
        <v>36</v>
      </c>
      <c r="O5" s="3">
        <v>11</v>
      </c>
      <c r="P5" s="3" t="s">
        <v>18</v>
      </c>
      <c r="Q5" s="5">
        <f t="shared" si="0"/>
        <v>3.2727272727272729</v>
      </c>
    </row>
    <row r="6" spans="1:17" ht="18.75" customHeight="1" x14ac:dyDescent="0.3">
      <c r="A6" s="2">
        <f>A5</f>
        <v>3</v>
      </c>
      <c r="B6" s="3" t="s">
        <v>140</v>
      </c>
      <c r="C6" s="3" t="s">
        <v>122</v>
      </c>
      <c r="D6" s="3">
        <v>42</v>
      </c>
      <c r="E6" s="3" t="s">
        <v>188</v>
      </c>
      <c r="F6" s="3">
        <v>28</v>
      </c>
      <c r="G6" s="3" t="s">
        <v>15</v>
      </c>
      <c r="H6" s="5">
        <f>(D6/56)*3</f>
        <v>2.25</v>
      </c>
      <c r="K6" s="2">
        <f t="shared" si="1"/>
        <v>4</v>
      </c>
      <c r="L6" s="3" t="s">
        <v>337</v>
      </c>
      <c r="M6" s="3" t="s">
        <v>83</v>
      </c>
      <c r="N6" s="3">
        <v>102</v>
      </c>
      <c r="O6" s="3">
        <v>34</v>
      </c>
      <c r="P6" s="3" t="s">
        <v>18</v>
      </c>
      <c r="Q6" s="5">
        <f t="shared" si="0"/>
        <v>3</v>
      </c>
    </row>
    <row r="7" spans="1:17" ht="18.75" customHeight="1" x14ac:dyDescent="0.3">
      <c r="A7" s="2">
        <f>A6+2</f>
        <v>5</v>
      </c>
      <c r="B7" s="3" t="s">
        <v>145</v>
      </c>
      <c r="C7" s="3" t="s">
        <v>331</v>
      </c>
      <c r="D7" s="3">
        <v>76</v>
      </c>
      <c r="E7" s="3">
        <v>102</v>
      </c>
      <c r="F7" s="3">
        <v>34</v>
      </c>
      <c r="G7" s="3" t="s">
        <v>15</v>
      </c>
      <c r="H7" s="5">
        <f>D7/F7</f>
        <v>2.2352941176470589</v>
      </c>
      <c r="K7" s="2">
        <f t="shared" si="1"/>
        <v>5</v>
      </c>
      <c r="L7" s="3" t="s">
        <v>145</v>
      </c>
      <c r="M7" s="3">
        <v>1967</v>
      </c>
      <c r="N7" s="3">
        <v>89</v>
      </c>
      <c r="O7" s="3">
        <v>30</v>
      </c>
      <c r="P7" s="3" t="s">
        <v>15</v>
      </c>
      <c r="Q7" s="5">
        <f t="shared" si="0"/>
        <v>2.9666666666666668</v>
      </c>
    </row>
    <row r="8" spans="1:17" ht="18.75" customHeight="1" x14ac:dyDescent="0.3">
      <c r="A8" s="2">
        <f>A7+1</f>
        <v>6</v>
      </c>
      <c r="B8" s="3" t="s">
        <v>140</v>
      </c>
      <c r="C8" s="3" t="s">
        <v>143</v>
      </c>
      <c r="D8" s="3">
        <v>50</v>
      </c>
      <c r="E8" s="3" t="s">
        <v>70</v>
      </c>
      <c r="F8" s="3">
        <v>34</v>
      </c>
      <c r="G8" s="3" t="s">
        <v>15</v>
      </c>
      <c r="H8" s="5">
        <f>(D8/68)*3</f>
        <v>2.2058823529411766</v>
      </c>
      <c r="K8" s="2">
        <f t="shared" si="1"/>
        <v>6</v>
      </c>
      <c r="L8" s="3" t="s">
        <v>149</v>
      </c>
      <c r="M8" s="3" t="s">
        <v>65</v>
      </c>
      <c r="N8" s="3">
        <v>100</v>
      </c>
      <c r="O8" s="3">
        <v>34</v>
      </c>
      <c r="P8" s="3" t="s">
        <v>18</v>
      </c>
      <c r="Q8" s="5">
        <f t="shared" si="0"/>
        <v>2.9411764705882355</v>
      </c>
    </row>
    <row r="9" spans="1:17" ht="18.75" customHeight="1" x14ac:dyDescent="0.3">
      <c r="A9" s="2">
        <f>A8</f>
        <v>6</v>
      </c>
      <c r="B9" s="3" t="s">
        <v>145</v>
      </c>
      <c r="C9" s="3" t="s">
        <v>65</v>
      </c>
      <c r="D9" s="3">
        <v>50</v>
      </c>
      <c r="E9" s="3" t="s">
        <v>70</v>
      </c>
      <c r="F9" s="3">
        <v>34</v>
      </c>
      <c r="G9" s="3" t="s">
        <v>15</v>
      </c>
      <c r="H9" s="5">
        <f>(D9/68)*3</f>
        <v>2.2058823529411766</v>
      </c>
      <c r="K9" s="2">
        <f t="shared" si="1"/>
        <v>7</v>
      </c>
      <c r="L9" s="3" t="s">
        <v>166</v>
      </c>
      <c r="M9" s="3">
        <v>1967</v>
      </c>
      <c r="N9" s="3">
        <v>85</v>
      </c>
      <c r="O9" s="3">
        <v>30</v>
      </c>
      <c r="P9" s="3" t="s">
        <v>18</v>
      </c>
      <c r="Q9" s="5">
        <f t="shared" si="0"/>
        <v>2.8333333333333335</v>
      </c>
    </row>
    <row r="10" spans="1:17" ht="18.75" customHeight="1" x14ac:dyDescent="0.3">
      <c r="A10" s="2">
        <f>A9+2</f>
        <v>8</v>
      </c>
      <c r="B10" s="3" t="s">
        <v>332</v>
      </c>
      <c r="C10" s="3" t="s">
        <v>21</v>
      </c>
      <c r="D10" s="3">
        <v>66</v>
      </c>
      <c r="E10" s="3">
        <v>90</v>
      </c>
      <c r="F10" s="3">
        <v>30</v>
      </c>
      <c r="G10" s="3" t="s">
        <v>15</v>
      </c>
      <c r="H10" s="5">
        <f>D10/F10</f>
        <v>2.2000000000000002</v>
      </c>
      <c r="K10" s="2">
        <f t="shared" si="1"/>
        <v>8</v>
      </c>
      <c r="L10" s="3" t="s">
        <v>163</v>
      </c>
      <c r="M10" s="3">
        <v>1957</v>
      </c>
      <c r="N10" s="3">
        <v>31</v>
      </c>
      <c r="O10" s="3">
        <v>11</v>
      </c>
      <c r="P10" s="3" t="s">
        <v>15</v>
      </c>
      <c r="Q10" s="5">
        <f t="shared" si="0"/>
        <v>2.8181818181818183</v>
      </c>
    </row>
    <row r="11" spans="1:17" ht="18.75" customHeight="1" x14ac:dyDescent="0.3">
      <c r="A11" s="2">
        <f>A10</f>
        <v>8</v>
      </c>
      <c r="B11" s="3" t="s">
        <v>332</v>
      </c>
      <c r="C11" s="3" t="s">
        <v>208</v>
      </c>
      <c r="D11" s="3">
        <v>44</v>
      </c>
      <c r="E11" s="3" t="s">
        <v>344</v>
      </c>
      <c r="F11" s="3">
        <v>30</v>
      </c>
      <c r="G11" s="3" t="s">
        <v>15</v>
      </c>
      <c r="H11" s="5">
        <f>(D11/60)*3</f>
        <v>2.1999999999999997</v>
      </c>
      <c r="K11" s="2">
        <f t="shared" si="1"/>
        <v>9</v>
      </c>
      <c r="L11" s="3" t="s">
        <v>145</v>
      </c>
      <c r="M11" s="3" t="s">
        <v>143</v>
      </c>
      <c r="N11" s="3">
        <v>95</v>
      </c>
      <c r="O11" s="3">
        <v>34</v>
      </c>
      <c r="P11" s="3" t="s">
        <v>18</v>
      </c>
      <c r="Q11" s="5">
        <f t="shared" si="0"/>
        <v>2.7941176470588234</v>
      </c>
    </row>
    <row r="12" spans="1:17" ht="18.75" customHeight="1" x14ac:dyDescent="0.3">
      <c r="A12" s="2">
        <f>A11</f>
        <v>8</v>
      </c>
      <c r="B12" s="3" t="s">
        <v>346</v>
      </c>
      <c r="C12" s="3">
        <v>1969</v>
      </c>
      <c r="D12" s="3">
        <v>44</v>
      </c>
      <c r="E12" s="3" t="s">
        <v>344</v>
      </c>
      <c r="F12" s="3">
        <v>30</v>
      </c>
      <c r="G12" s="3" t="s">
        <v>15</v>
      </c>
      <c r="H12" s="5">
        <f>(D12/60)*3</f>
        <v>2.1999999999999997</v>
      </c>
      <c r="K12" s="2">
        <f t="shared" si="1"/>
        <v>10</v>
      </c>
      <c r="L12" s="3" t="s">
        <v>145</v>
      </c>
      <c r="M12" s="3">
        <v>1969</v>
      </c>
      <c r="N12" s="3">
        <v>83</v>
      </c>
      <c r="O12" s="3">
        <v>30</v>
      </c>
      <c r="P12" s="3" t="s">
        <v>18</v>
      </c>
      <c r="Q12" s="5">
        <f t="shared" si="0"/>
        <v>2.7666666666666666</v>
      </c>
    </row>
    <row r="13" spans="1:17" ht="18.75" customHeight="1" x14ac:dyDescent="0.3">
      <c r="A13" s="2">
        <f>A12</f>
        <v>8</v>
      </c>
      <c r="B13" s="3" t="s">
        <v>145</v>
      </c>
      <c r="C13" s="3">
        <v>1967</v>
      </c>
      <c r="D13" s="3">
        <v>44</v>
      </c>
      <c r="E13" s="3" t="s">
        <v>344</v>
      </c>
      <c r="F13" s="3">
        <v>30</v>
      </c>
      <c r="G13" s="3" t="s">
        <v>15</v>
      </c>
      <c r="H13" s="5">
        <f>(D13/60)*3</f>
        <v>2.1999999999999997</v>
      </c>
    </row>
    <row r="17" spans="1:17" ht="18.75" customHeight="1" x14ac:dyDescent="0.3">
      <c r="A17" s="21" t="s">
        <v>347</v>
      </c>
      <c r="B17" s="20"/>
      <c r="C17" s="20"/>
      <c r="D17" s="20"/>
      <c r="E17" s="20"/>
      <c r="F17" s="20"/>
      <c r="G17" s="20"/>
      <c r="K17" s="21" t="s">
        <v>348</v>
      </c>
      <c r="L17" s="20"/>
      <c r="M17" s="20"/>
      <c r="N17" s="20"/>
      <c r="O17" s="20"/>
      <c r="P17" s="20"/>
      <c r="Q17" s="20"/>
    </row>
    <row r="18" spans="1:17" ht="18.75" customHeight="1" x14ac:dyDescent="0.3">
      <c r="A18" s="2" t="s">
        <v>4</v>
      </c>
      <c r="B18" s="2" t="s">
        <v>5</v>
      </c>
      <c r="C18" s="2" t="s">
        <v>6</v>
      </c>
      <c r="D18" s="2" t="s">
        <v>7</v>
      </c>
      <c r="E18" s="2" t="s">
        <v>62</v>
      </c>
      <c r="F18" s="2" t="s">
        <v>8</v>
      </c>
      <c r="G18" s="2" t="s">
        <v>9</v>
      </c>
      <c r="H18" s="2" t="s">
        <v>10</v>
      </c>
      <c r="K18" s="2" t="s">
        <v>4</v>
      </c>
      <c r="L18" s="2" t="s">
        <v>5</v>
      </c>
      <c r="M18" s="2" t="s">
        <v>6</v>
      </c>
      <c r="N18" s="2" t="s">
        <v>201</v>
      </c>
      <c r="O18" s="2" t="s">
        <v>8</v>
      </c>
      <c r="P18" s="2" t="s">
        <v>9</v>
      </c>
      <c r="Q18" s="2" t="s">
        <v>202</v>
      </c>
    </row>
    <row r="19" spans="1:17" ht="18.75" customHeight="1" x14ac:dyDescent="0.3">
      <c r="A19" s="2">
        <v>1</v>
      </c>
      <c r="B19" s="3" t="s">
        <v>166</v>
      </c>
      <c r="C19" s="3">
        <v>1967</v>
      </c>
      <c r="D19" s="3">
        <v>52</v>
      </c>
      <c r="E19" s="3" t="s">
        <v>66</v>
      </c>
      <c r="F19" s="3">
        <v>30</v>
      </c>
      <c r="G19" s="3" t="s">
        <v>18</v>
      </c>
      <c r="H19" s="5">
        <f>(D19/60)*3</f>
        <v>2.6</v>
      </c>
      <c r="K19" s="2">
        <v>1</v>
      </c>
      <c r="L19" s="3" t="s">
        <v>332</v>
      </c>
      <c r="M19" s="3" t="s">
        <v>23</v>
      </c>
      <c r="N19" s="3">
        <v>14</v>
      </c>
      <c r="O19" s="3">
        <v>30</v>
      </c>
      <c r="P19" s="3" t="s">
        <v>18</v>
      </c>
      <c r="Q19" s="5">
        <f t="shared" ref="Q19:Q30" si="2">N19/O19</f>
        <v>0.46666666666666667</v>
      </c>
    </row>
    <row r="20" spans="1:17" ht="18.75" customHeight="1" x14ac:dyDescent="0.3">
      <c r="A20" s="2">
        <f>A19</f>
        <v>1</v>
      </c>
      <c r="B20" s="3" t="s">
        <v>140</v>
      </c>
      <c r="C20" s="3">
        <v>1955</v>
      </c>
      <c r="D20" s="3">
        <v>45</v>
      </c>
      <c r="E20" s="3" t="s">
        <v>148</v>
      </c>
      <c r="F20" s="3">
        <v>26</v>
      </c>
      <c r="G20" s="3" t="s">
        <v>18</v>
      </c>
      <c r="H20" s="5">
        <f>(D20/52)*3</f>
        <v>2.5961538461538463</v>
      </c>
      <c r="K20" s="2">
        <f>K19+1</f>
        <v>2</v>
      </c>
      <c r="L20" s="3" t="s">
        <v>337</v>
      </c>
      <c r="M20" s="3">
        <v>1963</v>
      </c>
      <c r="N20" s="3">
        <v>7</v>
      </c>
      <c r="O20" s="3">
        <v>13</v>
      </c>
      <c r="P20" s="3" t="s">
        <v>18</v>
      </c>
      <c r="Q20" s="5">
        <f t="shared" si="2"/>
        <v>0.53846153846153844</v>
      </c>
    </row>
    <row r="21" spans="1:17" ht="18.75" customHeight="1" x14ac:dyDescent="0.3">
      <c r="A21" s="2">
        <f>A20+2</f>
        <v>3</v>
      </c>
      <c r="B21" s="3" t="s">
        <v>163</v>
      </c>
      <c r="C21" s="3" t="s">
        <v>331</v>
      </c>
      <c r="D21" s="3">
        <v>85</v>
      </c>
      <c r="E21" s="3">
        <v>102</v>
      </c>
      <c r="F21" s="3">
        <v>34</v>
      </c>
      <c r="G21" s="3" t="s">
        <v>18</v>
      </c>
      <c r="H21" s="5">
        <f>D21/F21</f>
        <v>2.5</v>
      </c>
      <c r="K21" s="2">
        <f>K20+1</f>
        <v>3</v>
      </c>
      <c r="L21" s="3" t="s">
        <v>334</v>
      </c>
      <c r="M21" s="3" t="s">
        <v>21</v>
      </c>
      <c r="N21" s="3">
        <v>18</v>
      </c>
      <c r="O21" s="3">
        <v>30</v>
      </c>
      <c r="P21" s="3" t="s">
        <v>18</v>
      </c>
      <c r="Q21" s="5">
        <f t="shared" si="2"/>
        <v>0.6</v>
      </c>
    </row>
    <row r="22" spans="1:17" ht="18.75" customHeight="1" x14ac:dyDescent="0.3">
      <c r="A22" s="2">
        <f>A21+1</f>
        <v>4</v>
      </c>
      <c r="B22" s="3" t="s">
        <v>149</v>
      </c>
      <c r="C22" s="3">
        <v>1966</v>
      </c>
      <c r="D22" s="3">
        <v>43</v>
      </c>
      <c r="E22" s="3" t="s">
        <v>148</v>
      </c>
      <c r="F22" s="3">
        <v>26</v>
      </c>
      <c r="G22" s="3" t="s">
        <v>18</v>
      </c>
      <c r="H22" s="5">
        <f>(D22/52)*3</f>
        <v>2.4807692307692308</v>
      </c>
      <c r="K22" s="2">
        <f>K21</f>
        <v>3</v>
      </c>
      <c r="L22" s="10" t="s">
        <v>341</v>
      </c>
      <c r="M22" s="3" t="s">
        <v>20</v>
      </c>
      <c r="N22" s="3">
        <v>18</v>
      </c>
      <c r="O22" s="3">
        <v>30</v>
      </c>
      <c r="P22" s="3" t="s">
        <v>44</v>
      </c>
      <c r="Q22" s="5">
        <f t="shared" si="2"/>
        <v>0.6</v>
      </c>
    </row>
    <row r="23" spans="1:17" ht="18.75" customHeight="1" x14ac:dyDescent="0.3">
      <c r="A23" s="2">
        <f>A22+1</f>
        <v>5</v>
      </c>
      <c r="B23" s="3" t="s">
        <v>333</v>
      </c>
      <c r="C23" s="3" t="s">
        <v>133</v>
      </c>
      <c r="D23" s="3">
        <v>79</v>
      </c>
      <c r="E23" s="3">
        <v>96</v>
      </c>
      <c r="F23" s="3">
        <v>32</v>
      </c>
      <c r="G23" s="3" t="s">
        <v>18</v>
      </c>
      <c r="H23" s="5">
        <f>D23/F23</f>
        <v>2.46875</v>
      </c>
      <c r="K23" s="2">
        <f>K21+2</f>
        <v>5</v>
      </c>
      <c r="L23" s="3" t="s">
        <v>166</v>
      </c>
      <c r="M23" s="3" t="s">
        <v>349</v>
      </c>
      <c r="N23" s="3">
        <v>19</v>
      </c>
      <c r="O23" s="3">
        <v>30</v>
      </c>
      <c r="P23" s="3" t="s">
        <v>18</v>
      </c>
      <c r="Q23" s="5">
        <f t="shared" si="2"/>
        <v>0.6333333333333333</v>
      </c>
    </row>
    <row r="24" spans="1:17" ht="18.75" customHeight="1" x14ac:dyDescent="0.3">
      <c r="A24" s="2">
        <f>A23</f>
        <v>5</v>
      </c>
      <c r="B24" s="3" t="s">
        <v>334</v>
      </c>
      <c r="C24" s="3" t="s">
        <v>21</v>
      </c>
      <c r="D24" s="3">
        <v>74</v>
      </c>
      <c r="E24" s="3">
        <v>90</v>
      </c>
      <c r="F24" s="3">
        <v>30</v>
      </c>
      <c r="G24" s="3" t="s">
        <v>18</v>
      </c>
      <c r="H24" s="5">
        <f>D24/F24</f>
        <v>2.4666666666666668</v>
      </c>
      <c r="K24" s="2">
        <f>K23</f>
        <v>5</v>
      </c>
      <c r="L24" s="3" t="s">
        <v>332</v>
      </c>
      <c r="M24" s="3" t="s">
        <v>21</v>
      </c>
      <c r="N24" s="3">
        <v>19</v>
      </c>
      <c r="O24" s="3">
        <v>30</v>
      </c>
      <c r="P24" s="3" t="s">
        <v>15</v>
      </c>
      <c r="Q24" s="5">
        <f t="shared" si="2"/>
        <v>0.6333333333333333</v>
      </c>
    </row>
    <row r="25" spans="1:17" ht="18.75" customHeight="1" x14ac:dyDescent="0.3">
      <c r="A25" s="2">
        <f>A24+2</f>
        <v>7</v>
      </c>
      <c r="B25" s="3" t="s">
        <v>350</v>
      </c>
      <c r="C25" s="3">
        <v>1970</v>
      </c>
      <c r="D25" s="3">
        <v>23</v>
      </c>
      <c r="E25" s="3" t="s">
        <v>327</v>
      </c>
      <c r="F25" s="3">
        <v>14</v>
      </c>
      <c r="G25" s="3" t="s">
        <v>18</v>
      </c>
      <c r="H25" s="5">
        <f>(D25/28)*3</f>
        <v>2.4642857142857144</v>
      </c>
      <c r="K25" s="2">
        <f>K23</f>
        <v>5</v>
      </c>
      <c r="L25" s="3" t="s">
        <v>166</v>
      </c>
      <c r="M25" s="3" t="s">
        <v>23</v>
      </c>
      <c r="N25" s="3">
        <v>19</v>
      </c>
      <c r="O25" s="3">
        <v>30</v>
      </c>
      <c r="P25" s="3" t="s">
        <v>15</v>
      </c>
      <c r="Q25" s="5">
        <f t="shared" si="2"/>
        <v>0.6333333333333333</v>
      </c>
    </row>
    <row r="26" spans="1:17" ht="18.75" customHeight="1" x14ac:dyDescent="0.3">
      <c r="A26" s="2">
        <f>A25+1</f>
        <v>8</v>
      </c>
      <c r="B26" s="3" t="s">
        <v>166</v>
      </c>
      <c r="C26" s="3">
        <v>1968</v>
      </c>
      <c r="D26" s="3">
        <v>49</v>
      </c>
      <c r="E26" s="3" t="s">
        <v>66</v>
      </c>
      <c r="F26" s="3">
        <v>30</v>
      </c>
      <c r="G26" s="3" t="s">
        <v>18</v>
      </c>
      <c r="H26" s="5">
        <f>(D26/60)*3</f>
        <v>2.4500000000000002</v>
      </c>
      <c r="K26" s="2">
        <f>K25</f>
        <v>5</v>
      </c>
      <c r="L26" s="3" t="s">
        <v>334</v>
      </c>
      <c r="M26" s="3" t="s">
        <v>23</v>
      </c>
      <c r="N26" s="3">
        <v>19</v>
      </c>
      <c r="O26" s="3">
        <v>30</v>
      </c>
      <c r="P26" s="3" t="s">
        <v>98</v>
      </c>
      <c r="Q26" s="5">
        <f t="shared" si="2"/>
        <v>0.6333333333333333</v>
      </c>
    </row>
    <row r="27" spans="1:17" ht="18.75" customHeight="1" x14ac:dyDescent="0.3">
      <c r="A27" s="2">
        <f>A26+1</f>
        <v>9</v>
      </c>
      <c r="B27" s="3" t="s">
        <v>163</v>
      </c>
      <c r="C27" s="3" t="s">
        <v>50</v>
      </c>
      <c r="D27" s="3">
        <v>83</v>
      </c>
      <c r="E27" s="3">
        <v>102</v>
      </c>
      <c r="F27" s="3">
        <v>34</v>
      </c>
      <c r="G27" s="3" t="s">
        <v>18</v>
      </c>
      <c r="H27" s="5">
        <f>D27/F27</f>
        <v>2.4411764705882355</v>
      </c>
      <c r="K27" s="2">
        <f>K26+4</f>
        <v>9</v>
      </c>
      <c r="L27" s="3" t="s">
        <v>351</v>
      </c>
      <c r="M27" s="3" t="s">
        <v>143</v>
      </c>
      <c r="N27" s="3">
        <v>22</v>
      </c>
      <c r="O27" s="3">
        <v>34</v>
      </c>
      <c r="P27" s="3" t="s">
        <v>15</v>
      </c>
      <c r="Q27" s="5">
        <f t="shared" si="2"/>
        <v>0.6470588235294118</v>
      </c>
    </row>
    <row r="28" spans="1:17" ht="18.75" customHeight="1" x14ac:dyDescent="0.3">
      <c r="A28" s="2">
        <f>A27+1</f>
        <v>10</v>
      </c>
      <c r="B28" s="3" t="s">
        <v>350</v>
      </c>
      <c r="C28" s="3" t="s">
        <v>122</v>
      </c>
      <c r="D28" s="3">
        <v>45</v>
      </c>
      <c r="E28" s="3" t="s">
        <v>188</v>
      </c>
      <c r="F28" s="3">
        <v>28</v>
      </c>
      <c r="G28" s="3" t="s">
        <v>18</v>
      </c>
      <c r="H28" s="5">
        <f>(D28/56)*3</f>
        <v>2.4107142857142856</v>
      </c>
      <c r="K28" s="2">
        <f>K27+1</f>
        <v>10</v>
      </c>
      <c r="L28" s="3" t="s">
        <v>166</v>
      </c>
      <c r="M28" s="3" t="s">
        <v>32</v>
      </c>
      <c r="N28" s="3">
        <v>22</v>
      </c>
      <c r="O28" s="3">
        <v>33</v>
      </c>
      <c r="P28" s="3" t="s">
        <v>18</v>
      </c>
      <c r="Q28" s="5">
        <f t="shared" si="2"/>
        <v>0.66666666666666663</v>
      </c>
    </row>
    <row r="29" spans="1:17" ht="18.75" customHeight="1" x14ac:dyDescent="0.3">
      <c r="K29" s="2">
        <f>K28</f>
        <v>10</v>
      </c>
      <c r="L29" s="3" t="s">
        <v>140</v>
      </c>
      <c r="M29" s="3" t="s">
        <v>84</v>
      </c>
      <c r="N29" s="3">
        <v>20</v>
      </c>
      <c r="O29" s="3">
        <v>30</v>
      </c>
      <c r="P29" s="3" t="s">
        <v>18</v>
      </c>
      <c r="Q29" s="5">
        <f t="shared" si="2"/>
        <v>0.66666666666666663</v>
      </c>
    </row>
    <row r="30" spans="1:17" ht="18.75" customHeight="1" x14ac:dyDescent="0.3">
      <c r="K30" s="2">
        <f>K29</f>
        <v>10</v>
      </c>
      <c r="L30" s="3" t="s">
        <v>145</v>
      </c>
      <c r="M30" s="3" t="s">
        <v>271</v>
      </c>
      <c r="N30" s="3">
        <v>20</v>
      </c>
      <c r="O30" s="3">
        <v>30</v>
      </c>
      <c r="P30" s="3" t="s">
        <v>18</v>
      </c>
      <c r="Q30" s="5">
        <f t="shared" si="2"/>
        <v>0.66666666666666663</v>
      </c>
    </row>
  </sheetData>
  <mergeCells count="4">
    <mergeCell ref="K1:Q1"/>
    <mergeCell ref="K17:Q17"/>
    <mergeCell ref="A17:G17"/>
    <mergeCell ref="A1:H1"/>
  </mergeCells>
  <conditionalFormatting sqref="H3:H13"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1:H28"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2">
    <cfRule type="colorScale" priority="6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30">
    <cfRule type="colorScale" priority="60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37"/>
  <sheetViews>
    <sheetView topLeftCell="E1" workbookViewId="0">
      <selection activeCell="N12" sqref="N12"/>
    </sheetView>
  </sheetViews>
  <sheetFormatPr baseColWidth="10" defaultRowHeight="15" x14ac:dyDescent="0.25"/>
  <cols>
    <col min="1" max="1" width="10.140625" bestFit="1" customWidth="1"/>
    <col min="2" max="2" width="23.7109375" bestFit="1" customWidth="1"/>
    <col min="3" max="3" width="13.5703125" bestFit="1" customWidth="1"/>
    <col min="4" max="4" width="14" bestFit="1" customWidth="1"/>
    <col min="5" max="5" width="30.7109375" bestFit="1" customWidth="1"/>
    <col min="6" max="6" width="23.42578125" bestFit="1" customWidth="1"/>
    <col min="7" max="7" width="13.85546875" bestFit="1" customWidth="1"/>
    <col min="8" max="8" width="28.42578125" bestFit="1" customWidth="1"/>
    <col min="12" max="12" width="24.28515625" bestFit="1" customWidth="1"/>
    <col min="13" max="13" width="14.140625" bestFit="1" customWidth="1"/>
    <col min="14" max="14" width="19" bestFit="1" customWidth="1"/>
    <col min="15" max="15" width="23.42578125" bestFit="1" customWidth="1"/>
    <col min="16" max="16" width="13.85546875" bestFit="1" customWidth="1"/>
    <col min="17" max="17" width="33.5703125" bestFit="1" customWidth="1"/>
  </cols>
  <sheetData>
    <row r="1" spans="1:17" ht="18.75" customHeight="1" x14ac:dyDescent="0.3">
      <c r="A1" s="21" t="s">
        <v>352</v>
      </c>
      <c r="B1" s="20"/>
      <c r="C1" s="20"/>
      <c r="D1" s="20"/>
      <c r="E1" s="20"/>
      <c r="F1" s="20"/>
      <c r="G1" s="20"/>
      <c r="H1" s="20"/>
      <c r="K1" s="21" t="s">
        <v>353</v>
      </c>
      <c r="L1" s="20"/>
      <c r="M1" s="20"/>
      <c r="N1" s="20"/>
      <c r="O1" s="20"/>
      <c r="P1" s="20"/>
      <c r="Q1" s="20"/>
    </row>
    <row r="2" spans="1:17" ht="18.7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62</v>
      </c>
      <c r="F2" s="2" t="s">
        <v>8</v>
      </c>
      <c r="G2" s="2" t="s">
        <v>9</v>
      </c>
      <c r="H2" s="2" t="s">
        <v>10</v>
      </c>
      <c r="K2" s="2" t="s">
        <v>4</v>
      </c>
      <c r="L2" s="2" t="s">
        <v>5</v>
      </c>
      <c r="M2" s="2" t="s">
        <v>6</v>
      </c>
      <c r="N2" s="2" t="s">
        <v>11</v>
      </c>
      <c r="O2" s="2" t="s">
        <v>8</v>
      </c>
      <c r="P2" s="2" t="s">
        <v>9</v>
      </c>
      <c r="Q2" s="2" t="s">
        <v>12</v>
      </c>
    </row>
    <row r="3" spans="1:17" ht="18.75" customHeight="1" x14ac:dyDescent="0.3">
      <c r="A3" s="2">
        <f>1</f>
        <v>1</v>
      </c>
      <c r="B3" s="3" t="s">
        <v>163</v>
      </c>
      <c r="C3" s="3">
        <v>1952</v>
      </c>
      <c r="D3" s="3">
        <v>45</v>
      </c>
      <c r="E3" s="3" t="s">
        <v>148</v>
      </c>
      <c r="F3" s="3">
        <v>26</v>
      </c>
      <c r="G3" s="3" t="s">
        <v>15</v>
      </c>
      <c r="H3" s="5">
        <f>(D3/52)*3</f>
        <v>2.5961538461538463</v>
      </c>
      <c r="K3" s="2">
        <f>1</f>
        <v>1</v>
      </c>
      <c r="L3" s="3" t="s">
        <v>163</v>
      </c>
      <c r="M3" s="3" t="s">
        <v>164</v>
      </c>
      <c r="N3" s="3">
        <v>147</v>
      </c>
      <c r="O3" s="3">
        <v>22</v>
      </c>
      <c r="P3" s="3" t="s">
        <v>18</v>
      </c>
      <c r="Q3" s="5">
        <f t="shared" ref="Q3:Q17" si="0">N3/O3</f>
        <v>6.6818181818181817</v>
      </c>
    </row>
    <row r="4" spans="1:17" ht="18.75" customHeight="1" x14ac:dyDescent="0.3">
      <c r="A4" s="2">
        <f>A3</f>
        <v>1</v>
      </c>
      <c r="B4" s="3" t="s">
        <v>166</v>
      </c>
      <c r="C4" s="3">
        <v>1905</v>
      </c>
      <c r="D4" s="3">
        <v>26</v>
      </c>
      <c r="E4" s="3" t="s">
        <v>167</v>
      </c>
      <c r="F4" s="3">
        <v>15</v>
      </c>
      <c r="G4" s="3" t="s">
        <v>15</v>
      </c>
      <c r="H4" s="5">
        <f>(D4/30)*3</f>
        <v>2.6</v>
      </c>
      <c r="K4" s="2">
        <f t="shared" ref="K4:K17" si="1">K3+1</f>
        <v>2</v>
      </c>
      <c r="L4" s="3" t="s">
        <v>145</v>
      </c>
      <c r="M4" s="3">
        <v>1945</v>
      </c>
      <c r="N4" s="3">
        <v>125</v>
      </c>
      <c r="O4" s="3">
        <v>22</v>
      </c>
      <c r="P4" s="3" t="s">
        <v>18</v>
      </c>
      <c r="Q4" s="5">
        <f t="shared" si="0"/>
        <v>5.6818181818181817</v>
      </c>
    </row>
    <row r="5" spans="1:17" ht="18.75" customHeight="1" x14ac:dyDescent="0.3">
      <c r="A5" s="2">
        <f>A4+2</f>
        <v>3</v>
      </c>
      <c r="B5" s="3" t="s">
        <v>145</v>
      </c>
      <c r="C5" s="3">
        <v>1944</v>
      </c>
      <c r="D5" s="3">
        <v>19</v>
      </c>
      <c r="E5" s="3" t="s">
        <v>170</v>
      </c>
      <c r="F5" s="3">
        <v>11</v>
      </c>
      <c r="G5" s="3" t="s">
        <v>15</v>
      </c>
      <c r="H5" s="5">
        <f>(D5/22)*3</f>
        <v>2.5909090909090908</v>
      </c>
      <c r="K5" s="2">
        <f t="shared" si="1"/>
        <v>3</v>
      </c>
      <c r="L5" s="3" t="s">
        <v>145</v>
      </c>
      <c r="M5" s="3" t="s">
        <v>165</v>
      </c>
      <c r="N5" s="3">
        <v>147</v>
      </c>
      <c r="O5" s="3">
        <v>26</v>
      </c>
      <c r="P5" s="3" t="s">
        <v>18</v>
      </c>
      <c r="Q5" s="5">
        <f t="shared" si="0"/>
        <v>5.6538461538461542</v>
      </c>
    </row>
    <row r="6" spans="1:17" ht="18.75" customHeight="1" x14ac:dyDescent="0.3">
      <c r="A6" s="2">
        <f>A5+1</f>
        <v>4</v>
      </c>
      <c r="B6" s="3" t="s">
        <v>145</v>
      </c>
      <c r="C6" s="3" t="s">
        <v>174</v>
      </c>
      <c r="D6" s="3">
        <v>44</v>
      </c>
      <c r="E6" s="3" t="s">
        <v>148</v>
      </c>
      <c r="F6" s="3">
        <v>26</v>
      </c>
      <c r="G6" s="3" t="s">
        <v>15</v>
      </c>
      <c r="H6" s="5">
        <f>(D6/52)*3</f>
        <v>2.5384615384615383</v>
      </c>
      <c r="K6" s="2">
        <f t="shared" si="1"/>
        <v>4</v>
      </c>
      <c r="L6" s="3" t="s">
        <v>168</v>
      </c>
      <c r="M6" s="3" t="s">
        <v>169</v>
      </c>
      <c r="N6" s="3">
        <v>78</v>
      </c>
      <c r="O6" s="3">
        <v>14</v>
      </c>
      <c r="P6" s="3" t="s">
        <v>15</v>
      </c>
      <c r="Q6" s="5">
        <f t="shared" si="0"/>
        <v>5.5714285714285712</v>
      </c>
    </row>
    <row r="7" spans="1:17" ht="18.75" customHeight="1" x14ac:dyDescent="0.3">
      <c r="A7" s="2">
        <f>A6+1</f>
        <v>5</v>
      </c>
      <c r="B7" s="3" t="s">
        <v>166</v>
      </c>
      <c r="C7" s="3" t="s">
        <v>171</v>
      </c>
      <c r="D7" s="3">
        <v>35</v>
      </c>
      <c r="E7" s="3" t="s">
        <v>181</v>
      </c>
      <c r="F7" s="3">
        <v>21</v>
      </c>
      <c r="G7" s="3" t="s">
        <v>15</v>
      </c>
      <c r="H7" s="5">
        <f>(D7/42)*3</f>
        <v>2.5</v>
      </c>
      <c r="K7" s="2">
        <f t="shared" si="1"/>
        <v>5</v>
      </c>
      <c r="L7" s="3" t="s">
        <v>163</v>
      </c>
      <c r="M7" s="3" t="s">
        <v>171</v>
      </c>
      <c r="N7" s="3">
        <v>116</v>
      </c>
      <c r="O7" s="3">
        <v>22</v>
      </c>
      <c r="P7" s="3" t="s">
        <v>18</v>
      </c>
      <c r="Q7" s="5">
        <f t="shared" si="0"/>
        <v>5.2727272727272725</v>
      </c>
    </row>
    <row r="8" spans="1:17" ht="18.75" customHeight="1" x14ac:dyDescent="0.3">
      <c r="A8" s="2">
        <f>A7+1</f>
        <v>6</v>
      </c>
      <c r="B8" s="3" t="s">
        <v>140</v>
      </c>
      <c r="C8" s="3">
        <v>1953</v>
      </c>
      <c r="D8" s="3">
        <v>43</v>
      </c>
      <c r="E8" s="3" t="s">
        <v>148</v>
      </c>
      <c r="F8" s="3">
        <v>26</v>
      </c>
      <c r="G8" s="3" t="s">
        <v>15</v>
      </c>
      <c r="H8" s="5">
        <f>(D8/52)*3</f>
        <v>2.4807692307692308</v>
      </c>
      <c r="K8" s="2">
        <f t="shared" si="1"/>
        <v>6</v>
      </c>
      <c r="L8" s="3" t="s">
        <v>168</v>
      </c>
      <c r="M8" s="3" t="s">
        <v>172</v>
      </c>
      <c r="N8" s="3">
        <v>83</v>
      </c>
      <c r="O8" s="3">
        <v>16</v>
      </c>
      <c r="P8" s="3" t="s">
        <v>44</v>
      </c>
      <c r="Q8" s="5">
        <f t="shared" si="0"/>
        <v>5.1875</v>
      </c>
    </row>
    <row r="9" spans="1:17" ht="18.75" customHeight="1" x14ac:dyDescent="0.3">
      <c r="A9" s="2">
        <f>A8</f>
        <v>6</v>
      </c>
      <c r="B9" s="3" t="s">
        <v>166</v>
      </c>
      <c r="C9" s="3" t="s">
        <v>178</v>
      </c>
      <c r="D9" s="3">
        <v>43</v>
      </c>
      <c r="E9" s="3" t="s">
        <v>148</v>
      </c>
      <c r="F9" s="3">
        <v>26</v>
      </c>
      <c r="G9" s="3" t="s">
        <v>15</v>
      </c>
      <c r="H9" s="5">
        <f>(D9/52)*3</f>
        <v>2.4807692307692308</v>
      </c>
      <c r="K9" s="2">
        <f t="shared" si="1"/>
        <v>7</v>
      </c>
      <c r="L9" s="3" t="s">
        <v>163</v>
      </c>
      <c r="M9" s="3" t="s">
        <v>173</v>
      </c>
      <c r="N9" s="3">
        <v>113</v>
      </c>
      <c r="O9" s="3">
        <v>22</v>
      </c>
      <c r="P9" s="3" t="s">
        <v>18</v>
      </c>
      <c r="Q9" s="5">
        <f t="shared" si="0"/>
        <v>5.1363636363636367</v>
      </c>
    </row>
    <row r="10" spans="1:17" ht="18.75" customHeight="1" x14ac:dyDescent="0.3">
      <c r="A10" s="2">
        <f>A9</f>
        <v>6</v>
      </c>
      <c r="B10" s="3" t="s">
        <v>145</v>
      </c>
      <c r="C10" s="3" t="s">
        <v>190</v>
      </c>
      <c r="D10" s="3">
        <v>43</v>
      </c>
      <c r="E10" s="3" t="s">
        <v>148</v>
      </c>
      <c r="F10" s="3">
        <v>26</v>
      </c>
      <c r="G10" s="3" t="s">
        <v>15</v>
      </c>
      <c r="H10" s="5">
        <f>(D10/52)*3</f>
        <v>2.4807692307692308</v>
      </c>
      <c r="K10" s="2">
        <f t="shared" si="1"/>
        <v>8</v>
      </c>
      <c r="L10" s="3" t="s">
        <v>166</v>
      </c>
      <c r="M10" s="3" t="s">
        <v>169</v>
      </c>
      <c r="N10" s="3">
        <v>70</v>
      </c>
      <c r="O10" s="3">
        <v>14</v>
      </c>
      <c r="P10" s="3" t="s">
        <v>18</v>
      </c>
      <c r="Q10" s="5">
        <f t="shared" si="0"/>
        <v>5</v>
      </c>
    </row>
    <row r="11" spans="1:17" ht="18.75" customHeight="1" x14ac:dyDescent="0.3">
      <c r="A11" s="2">
        <f>A10+3</f>
        <v>9</v>
      </c>
      <c r="B11" s="3" t="s">
        <v>163</v>
      </c>
      <c r="C11" s="3" t="s">
        <v>96</v>
      </c>
      <c r="D11" s="3">
        <v>36</v>
      </c>
      <c r="E11" s="3" t="s">
        <v>120</v>
      </c>
      <c r="F11" s="3">
        <v>22</v>
      </c>
      <c r="G11" s="3" t="s">
        <v>15</v>
      </c>
      <c r="H11" s="5">
        <f>(D11/44)*3</f>
        <v>2.4545454545454546</v>
      </c>
      <c r="K11" s="2">
        <f t="shared" si="1"/>
        <v>9</v>
      </c>
      <c r="L11" s="3" t="s">
        <v>163</v>
      </c>
      <c r="M11" s="3" t="s">
        <v>169</v>
      </c>
      <c r="N11" s="3">
        <v>67</v>
      </c>
      <c r="O11" s="3">
        <v>14</v>
      </c>
      <c r="P11" s="3" t="s">
        <v>44</v>
      </c>
      <c r="Q11" s="5">
        <f t="shared" si="0"/>
        <v>4.7857142857142856</v>
      </c>
    </row>
    <row r="12" spans="1:17" ht="18.75" customHeight="1" x14ac:dyDescent="0.3">
      <c r="A12" s="2">
        <f>A11</f>
        <v>9</v>
      </c>
      <c r="B12" s="3" t="s">
        <v>145</v>
      </c>
      <c r="C12" s="3" t="s">
        <v>175</v>
      </c>
      <c r="D12" s="3">
        <v>36</v>
      </c>
      <c r="E12" s="3" t="s">
        <v>120</v>
      </c>
      <c r="F12" s="3">
        <v>22</v>
      </c>
      <c r="G12" s="3" t="s">
        <v>15</v>
      </c>
      <c r="H12" s="5">
        <f>(D12/44)*3</f>
        <v>2.4545454545454546</v>
      </c>
      <c r="K12" s="2">
        <f t="shared" si="1"/>
        <v>10</v>
      </c>
      <c r="L12" s="3" t="s">
        <v>166</v>
      </c>
      <c r="M12" s="3" t="s">
        <v>175</v>
      </c>
      <c r="N12" s="3">
        <v>105</v>
      </c>
      <c r="O12" s="3">
        <v>22</v>
      </c>
      <c r="P12" s="3" t="s">
        <v>15</v>
      </c>
      <c r="Q12" s="5">
        <f t="shared" si="0"/>
        <v>4.7727272727272725</v>
      </c>
    </row>
    <row r="13" spans="1:17" ht="18.75" customHeight="1" x14ac:dyDescent="0.3">
      <c r="A13" s="2">
        <f>A12</f>
        <v>9</v>
      </c>
      <c r="B13" s="3" t="s">
        <v>166</v>
      </c>
      <c r="C13" s="3" t="s">
        <v>95</v>
      </c>
      <c r="D13" s="3">
        <v>36</v>
      </c>
      <c r="E13" s="3" t="s">
        <v>120</v>
      </c>
      <c r="F13" s="3">
        <v>22</v>
      </c>
      <c r="G13" s="3" t="s">
        <v>15</v>
      </c>
      <c r="H13" s="5">
        <f>(D13/44)*3</f>
        <v>2.4545454545454546</v>
      </c>
      <c r="K13" s="2">
        <f t="shared" si="1"/>
        <v>11</v>
      </c>
      <c r="L13" s="3" t="s">
        <v>166</v>
      </c>
      <c r="M13" s="3" t="s">
        <v>177</v>
      </c>
      <c r="N13" s="3">
        <v>140</v>
      </c>
      <c r="O13" s="3">
        <v>30</v>
      </c>
      <c r="P13" s="3" t="s">
        <v>18</v>
      </c>
      <c r="Q13" s="5">
        <f t="shared" si="0"/>
        <v>4.666666666666667</v>
      </c>
    </row>
    <row r="14" spans="1:17" ht="18.75" customHeight="1" x14ac:dyDescent="0.3">
      <c r="A14" s="2">
        <f>A13</f>
        <v>9</v>
      </c>
      <c r="B14" s="3" t="s">
        <v>166</v>
      </c>
      <c r="C14" s="3" t="s">
        <v>354</v>
      </c>
      <c r="D14" s="3">
        <v>36</v>
      </c>
      <c r="E14" s="3" t="s">
        <v>120</v>
      </c>
      <c r="F14" s="3">
        <v>22</v>
      </c>
      <c r="G14" s="3" t="s">
        <v>15</v>
      </c>
      <c r="H14" s="5">
        <f>(D14/44)*3</f>
        <v>2.4545454545454546</v>
      </c>
      <c r="K14" s="2">
        <f t="shared" si="1"/>
        <v>12</v>
      </c>
      <c r="L14" s="3" t="s">
        <v>166</v>
      </c>
      <c r="M14" s="3" t="s">
        <v>178</v>
      </c>
      <c r="N14" s="3">
        <v>121</v>
      </c>
      <c r="O14" s="3">
        <v>26</v>
      </c>
      <c r="P14" s="3" t="s">
        <v>15</v>
      </c>
      <c r="Q14" s="5">
        <f t="shared" si="0"/>
        <v>4.6538461538461542</v>
      </c>
    </row>
    <row r="15" spans="1:17" ht="18.75" customHeight="1" x14ac:dyDescent="0.3">
      <c r="A15" s="2">
        <f>A14</f>
        <v>9</v>
      </c>
      <c r="B15" s="3" t="s">
        <v>166</v>
      </c>
      <c r="C15" s="3" t="s">
        <v>355</v>
      </c>
      <c r="D15" s="3">
        <v>36</v>
      </c>
      <c r="E15" s="3" t="s">
        <v>120</v>
      </c>
      <c r="F15" s="3">
        <v>22</v>
      </c>
      <c r="G15" s="3" t="s">
        <v>15</v>
      </c>
      <c r="H15" s="5">
        <f>(D15/44)*3</f>
        <v>2.4545454545454546</v>
      </c>
      <c r="K15" s="2">
        <f t="shared" si="1"/>
        <v>13</v>
      </c>
      <c r="L15" s="3" t="s">
        <v>179</v>
      </c>
      <c r="M15" s="3">
        <v>1901</v>
      </c>
      <c r="N15" s="3">
        <v>37</v>
      </c>
      <c r="O15" s="3">
        <v>8</v>
      </c>
      <c r="P15" s="3" t="s">
        <v>18</v>
      </c>
      <c r="Q15" s="5">
        <f t="shared" si="0"/>
        <v>4.625</v>
      </c>
    </row>
    <row r="16" spans="1:17" ht="18.75" customHeight="1" x14ac:dyDescent="0.3">
      <c r="A16" s="2">
        <f>A15+5</f>
        <v>14</v>
      </c>
      <c r="B16" s="3" t="s">
        <v>140</v>
      </c>
      <c r="C16" s="3">
        <v>1951</v>
      </c>
      <c r="D16" s="3">
        <v>42</v>
      </c>
      <c r="E16" s="3" t="s">
        <v>148</v>
      </c>
      <c r="F16" s="3">
        <v>26</v>
      </c>
      <c r="G16" s="3" t="s">
        <v>15</v>
      </c>
      <c r="H16" s="5">
        <f>(D16/52)*3</f>
        <v>2.4230769230769234</v>
      </c>
      <c r="K16" s="2">
        <f t="shared" si="1"/>
        <v>14</v>
      </c>
      <c r="L16" s="3" t="s">
        <v>140</v>
      </c>
      <c r="M16" s="3">
        <v>1950</v>
      </c>
      <c r="N16" s="3">
        <v>67</v>
      </c>
      <c r="O16" s="3">
        <v>15</v>
      </c>
      <c r="P16" s="3" t="s">
        <v>18</v>
      </c>
      <c r="Q16" s="5">
        <f t="shared" si="0"/>
        <v>4.4666666666666668</v>
      </c>
    </row>
    <row r="17" spans="1:17" ht="18.75" customHeight="1" x14ac:dyDescent="0.3">
      <c r="A17" s="2">
        <f>A16</f>
        <v>14</v>
      </c>
      <c r="B17" s="3" t="s">
        <v>166</v>
      </c>
      <c r="C17" s="3" t="s">
        <v>326</v>
      </c>
      <c r="D17" s="3">
        <v>42</v>
      </c>
      <c r="E17" s="3" t="s">
        <v>148</v>
      </c>
      <c r="F17" s="3">
        <v>26</v>
      </c>
      <c r="G17" s="3" t="s">
        <v>15</v>
      </c>
      <c r="H17" s="5">
        <f>(D17/52)*3</f>
        <v>2.4230769230769234</v>
      </c>
      <c r="K17" s="2">
        <f t="shared" si="1"/>
        <v>15</v>
      </c>
      <c r="L17" s="3" t="s">
        <v>166</v>
      </c>
      <c r="M17" s="3" t="s">
        <v>107</v>
      </c>
      <c r="N17" s="3">
        <v>113</v>
      </c>
      <c r="O17" s="3">
        <v>26</v>
      </c>
      <c r="P17" s="3" t="s">
        <v>18</v>
      </c>
      <c r="Q17" s="5">
        <f t="shared" si="0"/>
        <v>4.3461538461538458</v>
      </c>
    </row>
    <row r="21" spans="1:17" ht="18.75" customHeight="1" x14ac:dyDescent="0.3">
      <c r="A21" s="21" t="s">
        <v>356</v>
      </c>
      <c r="B21" s="20"/>
      <c r="C21" s="20"/>
      <c r="D21" s="20"/>
      <c r="E21" s="20"/>
      <c r="F21" s="20"/>
      <c r="G21" s="20"/>
      <c r="H21" s="20"/>
      <c r="K21" s="21" t="s">
        <v>357</v>
      </c>
      <c r="L21" s="20"/>
      <c r="M21" s="20"/>
      <c r="N21" s="20"/>
      <c r="O21" s="20"/>
      <c r="P21" s="20"/>
      <c r="Q21" s="20"/>
    </row>
    <row r="22" spans="1:17" ht="18.75" customHeight="1" x14ac:dyDescent="0.3">
      <c r="A22" s="2" t="s">
        <v>4</v>
      </c>
      <c r="B22" s="2" t="s">
        <v>5</v>
      </c>
      <c r="C22" s="2" t="s">
        <v>6</v>
      </c>
      <c r="D22" s="2" t="s">
        <v>7</v>
      </c>
      <c r="E22" s="2" t="s">
        <v>62</v>
      </c>
      <c r="F22" s="2" t="s">
        <v>8</v>
      </c>
      <c r="G22" s="2" t="s">
        <v>9</v>
      </c>
      <c r="H22" s="2" t="s">
        <v>10</v>
      </c>
      <c r="K22" s="2" t="s">
        <v>4</v>
      </c>
      <c r="L22" s="2" t="s">
        <v>5</v>
      </c>
      <c r="M22" s="2" t="s">
        <v>6</v>
      </c>
      <c r="N22" s="2" t="s">
        <v>201</v>
      </c>
      <c r="O22" s="2" t="s">
        <v>8</v>
      </c>
      <c r="P22" s="2" t="s">
        <v>9</v>
      </c>
      <c r="Q22" s="2" t="s">
        <v>202</v>
      </c>
    </row>
    <row r="23" spans="1:17" ht="18.75" customHeight="1" x14ac:dyDescent="0.3">
      <c r="A23" s="2">
        <f>1</f>
        <v>1</v>
      </c>
      <c r="B23" s="3" t="s">
        <v>166</v>
      </c>
      <c r="C23" s="3" t="s">
        <v>175</v>
      </c>
      <c r="D23" s="3">
        <v>44</v>
      </c>
      <c r="E23" s="3" t="s">
        <v>120</v>
      </c>
      <c r="F23" s="3">
        <v>22</v>
      </c>
      <c r="G23" s="3" t="s">
        <v>18</v>
      </c>
      <c r="H23" s="5">
        <f>(D23/44)*3</f>
        <v>3</v>
      </c>
      <c r="K23" s="2">
        <v>1</v>
      </c>
      <c r="L23" s="3" t="s">
        <v>163</v>
      </c>
      <c r="M23" s="3" t="s">
        <v>189</v>
      </c>
      <c r="N23" s="3">
        <v>9</v>
      </c>
      <c r="O23" s="3">
        <v>24</v>
      </c>
      <c r="P23" s="3" t="s">
        <v>18</v>
      </c>
      <c r="Q23" s="3">
        <v>0.38</v>
      </c>
    </row>
    <row r="24" spans="1:17" ht="18.75" customHeight="1" x14ac:dyDescent="0.3">
      <c r="A24" s="2">
        <f>1</f>
        <v>1</v>
      </c>
      <c r="B24" s="3" t="s">
        <v>179</v>
      </c>
      <c r="C24" s="3">
        <v>1901</v>
      </c>
      <c r="D24" s="3">
        <v>16</v>
      </c>
      <c r="E24" s="3" t="s">
        <v>186</v>
      </c>
      <c r="F24" s="3">
        <v>8</v>
      </c>
      <c r="G24" s="3" t="s">
        <v>18</v>
      </c>
      <c r="H24" s="5">
        <f>(D24/16)*3</f>
        <v>3</v>
      </c>
      <c r="K24" s="2">
        <v>1</v>
      </c>
      <c r="L24" s="3" t="s">
        <v>166</v>
      </c>
      <c r="M24" s="3" t="s">
        <v>171</v>
      </c>
      <c r="N24" s="3">
        <v>8</v>
      </c>
      <c r="O24" s="3">
        <v>21</v>
      </c>
      <c r="P24" s="3" t="s">
        <v>15</v>
      </c>
      <c r="Q24" s="3">
        <v>0.38</v>
      </c>
    </row>
    <row r="25" spans="1:17" ht="18.75" customHeight="1" x14ac:dyDescent="0.3">
      <c r="A25" s="2">
        <f>A23+2</f>
        <v>3</v>
      </c>
      <c r="B25" s="3" t="s">
        <v>163</v>
      </c>
      <c r="C25" s="3" t="s">
        <v>164</v>
      </c>
      <c r="D25" s="3">
        <v>43</v>
      </c>
      <c r="E25" s="3" t="s">
        <v>120</v>
      </c>
      <c r="F25" s="3">
        <v>22</v>
      </c>
      <c r="G25" s="3" t="s">
        <v>18</v>
      </c>
      <c r="H25" s="5">
        <f>(D25/44)*3</f>
        <v>2.9318181818181817</v>
      </c>
      <c r="K25" s="2">
        <v>3</v>
      </c>
      <c r="L25" s="3" t="s">
        <v>163</v>
      </c>
      <c r="M25" s="3" t="s">
        <v>164</v>
      </c>
      <c r="N25" s="3">
        <v>10</v>
      </c>
      <c r="O25" s="3">
        <v>22</v>
      </c>
      <c r="P25" s="3" t="s">
        <v>18</v>
      </c>
      <c r="Q25" s="3">
        <v>0.45</v>
      </c>
    </row>
    <row r="26" spans="1:17" ht="18.75" customHeight="1" x14ac:dyDescent="0.3">
      <c r="A26" s="2">
        <f t="shared" ref="A26:A34" si="2">A25+1</f>
        <v>4</v>
      </c>
      <c r="B26" s="3" t="s">
        <v>163</v>
      </c>
      <c r="C26" s="3" t="s">
        <v>173</v>
      </c>
      <c r="D26" s="3">
        <v>42</v>
      </c>
      <c r="E26" s="3" t="s">
        <v>120</v>
      </c>
      <c r="F26" s="3">
        <v>22</v>
      </c>
      <c r="G26" s="3" t="s">
        <v>18</v>
      </c>
      <c r="H26" s="5">
        <f>(D26/44)*3</f>
        <v>2.8636363636363638</v>
      </c>
      <c r="K26" s="2">
        <v>4</v>
      </c>
      <c r="L26" s="3" t="s">
        <v>332</v>
      </c>
      <c r="M26" s="3" t="s">
        <v>23</v>
      </c>
      <c r="N26" s="3">
        <v>14</v>
      </c>
      <c r="O26" s="3">
        <v>30</v>
      </c>
      <c r="P26" s="3" t="s">
        <v>18</v>
      </c>
      <c r="Q26" s="3">
        <v>0.47</v>
      </c>
    </row>
    <row r="27" spans="1:17" ht="18.75" customHeight="1" x14ac:dyDescent="0.3">
      <c r="A27" s="2">
        <f t="shared" si="2"/>
        <v>5</v>
      </c>
      <c r="B27" s="3" t="s">
        <v>163</v>
      </c>
      <c r="C27" s="3" t="s">
        <v>187</v>
      </c>
      <c r="D27" s="3">
        <v>53</v>
      </c>
      <c r="E27" s="3" t="s">
        <v>188</v>
      </c>
      <c r="F27" s="3">
        <v>28</v>
      </c>
      <c r="G27" s="3" t="s">
        <v>18</v>
      </c>
      <c r="H27" s="5">
        <f>(D27/56)*3</f>
        <v>2.8392857142857144</v>
      </c>
      <c r="K27" s="2">
        <v>5</v>
      </c>
      <c r="L27" s="3" t="s">
        <v>163</v>
      </c>
      <c r="M27" s="3" t="s">
        <v>194</v>
      </c>
      <c r="N27" s="3">
        <v>11</v>
      </c>
      <c r="O27" s="3">
        <v>22</v>
      </c>
      <c r="P27" s="3" t="s">
        <v>18</v>
      </c>
      <c r="Q27" s="3">
        <v>0.5</v>
      </c>
    </row>
    <row r="28" spans="1:17" ht="18.75" customHeight="1" x14ac:dyDescent="0.3">
      <c r="A28" s="2">
        <f t="shared" si="2"/>
        <v>6</v>
      </c>
      <c r="B28" s="3" t="s">
        <v>179</v>
      </c>
      <c r="C28" s="3">
        <v>1902</v>
      </c>
      <c r="D28" s="3">
        <v>15</v>
      </c>
      <c r="E28" s="3" t="s">
        <v>186</v>
      </c>
      <c r="F28" s="3">
        <v>8</v>
      </c>
      <c r="G28" s="3" t="s">
        <v>18</v>
      </c>
      <c r="H28" s="5">
        <f>(D28/16)*3</f>
        <v>2.8125</v>
      </c>
      <c r="K28" s="2">
        <v>5</v>
      </c>
      <c r="L28" s="3" t="s">
        <v>163</v>
      </c>
      <c r="M28" s="3" t="s">
        <v>355</v>
      </c>
      <c r="N28" s="3">
        <v>11</v>
      </c>
      <c r="O28" s="3">
        <v>22</v>
      </c>
      <c r="P28" s="3" t="s">
        <v>18</v>
      </c>
      <c r="Q28" s="3">
        <v>0.5</v>
      </c>
    </row>
    <row r="29" spans="1:17" ht="18.75" customHeight="1" x14ac:dyDescent="0.3">
      <c r="A29" s="2">
        <f t="shared" si="2"/>
        <v>7</v>
      </c>
      <c r="B29" s="3" t="s">
        <v>163</v>
      </c>
      <c r="C29" s="3" t="s">
        <v>190</v>
      </c>
      <c r="D29" s="3">
        <v>48</v>
      </c>
      <c r="E29" s="3" t="s">
        <v>148</v>
      </c>
      <c r="F29" s="3">
        <v>26</v>
      </c>
      <c r="G29" s="3" t="s">
        <v>18</v>
      </c>
      <c r="H29" s="5">
        <f>(D29/52)*3</f>
        <v>2.7692307692307692</v>
      </c>
      <c r="K29" s="2">
        <v>5</v>
      </c>
      <c r="L29" s="3" t="s">
        <v>358</v>
      </c>
      <c r="M29" s="3">
        <v>1902</v>
      </c>
      <c r="N29" s="3">
        <v>4</v>
      </c>
      <c r="O29" s="3">
        <v>8</v>
      </c>
      <c r="P29" s="3" t="s">
        <v>18</v>
      </c>
      <c r="Q29" s="3">
        <v>0.5</v>
      </c>
    </row>
    <row r="30" spans="1:17" ht="18.75" customHeight="1" x14ac:dyDescent="0.3">
      <c r="A30" s="2">
        <f t="shared" si="2"/>
        <v>8</v>
      </c>
      <c r="B30" s="3" t="s">
        <v>163</v>
      </c>
      <c r="C30" s="3" t="s">
        <v>191</v>
      </c>
      <c r="D30" s="3">
        <v>33</v>
      </c>
      <c r="E30" s="3" t="s">
        <v>162</v>
      </c>
      <c r="F30" s="3">
        <v>18</v>
      </c>
      <c r="G30" s="3" t="s">
        <v>18</v>
      </c>
      <c r="H30" s="5">
        <f>(D30/36)*3</f>
        <v>2.75</v>
      </c>
      <c r="K30" s="2">
        <v>5</v>
      </c>
      <c r="L30" s="3" t="s">
        <v>145</v>
      </c>
      <c r="M30" s="3" t="s">
        <v>359</v>
      </c>
      <c r="N30" s="3">
        <v>11</v>
      </c>
      <c r="O30" s="3">
        <v>22</v>
      </c>
      <c r="P30" s="3" t="s">
        <v>15</v>
      </c>
      <c r="Q30" s="3">
        <v>0.5</v>
      </c>
    </row>
    <row r="31" spans="1:17" ht="18.75" customHeight="1" x14ac:dyDescent="0.3">
      <c r="A31" s="2">
        <f t="shared" si="2"/>
        <v>9</v>
      </c>
      <c r="B31" s="3" t="s">
        <v>166</v>
      </c>
      <c r="C31" s="3" t="s">
        <v>192</v>
      </c>
      <c r="D31" s="3">
        <v>33</v>
      </c>
      <c r="E31" s="3" t="s">
        <v>162</v>
      </c>
      <c r="F31" s="3">
        <v>18</v>
      </c>
      <c r="G31" s="3" t="s">
        <v>18</v>
      </c>
      <c r="H31" s="5">
        <f>(D31/36)*3</f>
        <v>2.75</v>
      </c>
      <c r="K31" s="2">
        <v>9</v>
      </c>
      <c r="L31" s="3" t="s">
        <v>337</v>
      </c>
      <c r="M31" s="3">
        <v>1963</v>
      </c>
      <c r="N31" s="3">
        <v>7</v>
      </c>
      <c r="O31" s="3">
        <v>13</v>
      </c>
      <c r="P31" s="3" t="s">
        <v>18</v>
      </c>
      <c r="Q31" s="3">
        <v>0.54</v>
      </c>
    </row>
    <row r="32" spans="1:17" ht="18.75" customHeight="1" x14ac:dyDescent="0.3">
      <c r="A32" s="2">
        <f t="shared" si="2"/>
        <v>10</v>
      </c>
      <c r="B32" s="3" t="s">
        <v>163</v>
      </c>
      <c r="C32" s="3" t="s">
        <v>189</v>
      </c>
      <c r="D32" s="3">
        <v>44</v>
      </c>
      <c r="E32" s="3" t="s">
        <v>193</v>
      </c>
      <c r="F32" s="3">
        <v>24</v>
      </c>
      <c r="G32" s="3" t="s">
        <v>18</v>
      </c>
      <c r="H32" s="5">
        <f>(D32/48)*3</f>
        <v>2.75</v>
      </c>
      <c r="K32" s="2">
        <v>10</v>
      </c>
      <c r="L32" s="3" t="s">
        <v>145</v>
      </c>
      <c r="M32" s="3" t="s">
        <v>189</v>
      </c>
      <c r="N32" s="3">
        <v>14</v>
      </c>
      <c r="O32" s="3">
        <v>24</v>
      </c>
      <c r="P32" s="3" t="s">
        <v>15</v>
      </c>
      <c r="Q32" s="3">
        <v>0.57999999999999996</v>
      </c>
    </row>
    <row r="33" spans="1:17" ht="18.75" customHeight="1" x14ac:dyDescent="0.3">
      <c r="A33" s="2">
        <f t="shared" si="2"/>
        <v>11</v>
      </c>
      <c r="B33" s="3" t="s">
        <v>163</v>
      </c>
      <c r="C33" s="3" t="s">
        <v>194</v>
      </c>
      <c r="D33" s="3">
        <v>40</v>
      </c>
      <c r="E33" s="3" t="s">
        <v>120</v>
      </c>
      <c r="F33" s="3">
        <v>22</v>
      </c>
      <c r="G33" s="3" t="s">
        <v>18</v>
      </c>
      <c r="H33" s="5">
        <f>(D33/44)*3</f>
        <v>2.7272727272727271</v>
      </c>
      <c r="K33" s="2">
        <v>11</v>
      </c>
      <c r="L33" s="3" t="s">
        <v>166</v>
      </c>
      <c r="M33" s="3" t="s">
        <v>355</v>
      </c>
      <c r="N33" s="3">
        <v>13</v>
      </c>
      <c r="O33" s="3">
        <v>22</v>
      </c>
      <c r="P33" s="3" t="s">
        <v>15</v>
      </c>
      <c r="Q33" s="3">
        <v>0.59</v>
      </c>
    </row>
    <row r="34" spans="1:17" ht="18.75" customHeight="1" x14ac:dyDescent="0.3">
      <c r="A34" s="2">
        <f t="shared" si="2"/>
        <v>12</v>
      </c>
      <c r="B34" s="3" t="s">
        <v>140</v>
      </c>
      <c r="C34" s="3">
        <v>1952</v>
      </c>
      <c r="D34" s="3">
        <v>47</v>
      </c>
      <c r="E34" s="3" t="s">
        <v>148</v>
      </c>
      <c r="F34" s="3">
        <v>26</v>
      </c>
      <c r="G34" s="3" t="s">
        <v>18</v>
      </c>
      <c r="H34" s="5">
        <f>(D34/52)*3</f>
        <v>2.7115384615384617</v>
      </c>
      <c r="K34" s="2">
        <v>12</v>
      </c>
      <c r="L34" s="3" t="s">
        <v>334</v>
      </c>
      <c r="M34" s="3" t="s">
        <v>21</v>
      </c>
      <c r="N34" s="3">
        <v>18</v>
      </c>
      <c r="O34" s="3">
        <v>30</v>
      </c>
      <c r="P34" s="3" t="s">
        <v>18</v>
      </c>
      <c r="Q34" s="3">
        <v>0.6</v>
      </c>
    </row>
    <row r="35" spans="1:17" ht="18.75" customHeight="1" x14ac:dyDescent="0.3">
      <c r="A35" s="2">
        <f>A34</f>
        <v>12</v>
      </c>
      <c r="B35" s="3" t="s">
        <v>166</v>
      </c>
      <c r="C35" s="3" t="s">
        <v>174</v>
      </c>
      <c r="D35" s="3">
        <v>47</v>
      </c>
      <c r="E35" s="3" t="s">
        <v>148</v>
      </c>
      <c r="F35" s="3">
        <v>26</v>
      </c>
      <c r="G35" s="3" t="s">
        <v>18</v>
      </c>
      <c r="H35" s="5">
        <f>(D35/52)*3</f>
        <v>2.7115384615384617</v>
      </c>
      <c r="K35" s="2">
        <v>12</v>
      </c>
      <c r="L35" s="3" t="s">
        <v>341</v>
      </c>
      <c r="M35" s="3" t="s">
        <v>20</v>
      </c>
      <c r="N35" s="3">
        <v>18</v>
      </c>
      <c r="O35" s="3">
        <v>30</v>
      </c>
      <c r="P35" s="3" t="s">
        <v>44</v>
      </c>
      <c r="Q35" s="3">
        <v>0.6</v>
      </c>
    </row>
    <row r="36" spans="1:17" ht="18.75" customHeight="1" x14ac:dyDescent="0.3">
      <c r="A36" s="2">
        <f>A35+2</f>
        <v>14</v>
      </c>
      <c r="B36" s="3" t="s">
        <v>140</v>
      </c>
      <c r="C36" s="3">
        <v>1950</v>
      </c>
      <c r="D36" s="3">
        <v>27</v>
      </c>
      <c r="E36" s="3" t="s">
        <v>360</v>
      </c>
      <c r="F36" s="3">
        <v>15</v>
      </c>
      <c r="G36" s="3" t="s">
        <v>18</v>
      </c>
      <c r="H36" s="5">
        <f>(D36/30)*3</f>
        <v>2.7</v>
      </c>
      <c r="K36" s="2">
        <v>12</v>
      </c>
      <c r="L36" s="3" t="s">
        <v>361</v>
      </c>
      <c r="M36" s="3">
        <v>1905</v>
      </c>
      <c r="N36" s="3">
        <v>9</v>
      </c>
      <c r="O36" s="3">
        <v>15</v>
      </c>
      <c r="P36" s="3" t="s">
        <v>15</v>
      </c>
      <c r="Q36" s="3">
        <v>0.6</v>
      </c>
    </row>
    <row r="37" spans="1:17" ht="18.75" customHeight="1" x14ac:dyDescent="0.3">
      <c r="A37" s="2">
        <f>A36+1</f>
        <v>15</v>
      </c>
      <c r="B37" s="3" t="s">
        <v>166</v>
      </c>
      <c r="C37" s="3" t="s">
        <v>362</v>
      </c>
      <c r="D37" s="3">
        <v>32</v>
      </c>
      <c r="E37" s="3" t="s">
        <v>162</v>
      </c>
      <c r="F37" s="3">
        <v>18</v>
      </c>
      <c r="G37" s="3" t="s">
        <v>18</v>
      </c>
      <c r="H37" s="5">
        <f>(D37/36)*3</f>
        <v>2.6666666666666665</v>
      </c>
      <c r="K37" s="2">
        <v>15</v>
      </c>
      <c r="L37" s="3" t="s">
        <v>163</v>
      </c>
      <c r="M37" s="3" t="s">
        <v>187</v>
      </c>
      <c r="N37" s="3">
        <v>17</v>
      </c>
      <c r="O37" s="3">
        <v>28</v>
      </c>
      <c r="P37" s="3" t="s">
        <v>18</v>
      </c>
      <c r="Q37" s="3">
        <v>0.61</v>
      </c>
    </row>
  </sheetData>
  <mergeCells count="4">
    <mergeCell ref="A1:H1"/>
    <mergeCell ref="A21:H21"/>
    <mergeCell ref="K21:Q21"/>
    <mergeCell ref="K1:Q1"/>
  </mergeCells>
  <conditionalFormatting sqref="H3:H17">
    <cfRule type="colorScale" priority="6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3:H26 H28:H37">
    <cfRule type="colorScale" priority="7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3:H3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17"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3:Q37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30</vt:i4>
      </vt:variant>
    </vt:vector>
  </HeadingPairs>
  <TitlesOfParts>
    <vt:vector size="30" baseType="lpstr">
      <vt:lpstr>Global</vt:lpstr>
      <vt:lpstr>Top 5 EU 95 + PL</vt:lpstr>
      <vt:lpstr>TOP 5 EU 1955</vt:lpstr>
      <vt:lpstr>TOP 5 EU AT</vt:lpstr>
      <vt:lpstr>Top 8 EU 95 + PL</vt:lpstr>
      <vt:lpstr>Top 8 EU 1955</vt:lpstr>
      <vt:lpstr>Top 8 EU AT</vt:lpstr>
      <vt:lpstr>PL 92</vt:lpstr>
      <vt:lpstr>PL 1955-92</vt:lpstr>
      <vt:lpstr>PL 1955</vt:lpstr>
      <vt:lpstr>PL AT</vt:lpstr>
      <vt:lpstr>Serie A 1994</vt:lpstr>
      <vt:lpstr>Serie A 1955</vt:lpstr>
      <vt:lpstr>Serie A AT</vt:lpstr>
      <vt:lpstr>Ligue 1 94</vt:lpstr>
      <vt:lpstr>Ligue 1 1955</vt:lpstr>
      <vt:lpstr>Ligue 1 AT</vt:lpstr>
      <vt:lpstr>Liga 1995</vt:lpstr>
      <vt:lpstr>Liga 1955</vt:lpstr>
      <vt:lpstr>Liga AT</vt:lpstr>
      <vt:lpstr> Bundes 1995</vt:lpstr>
      <vt:lpstr>Bundes AT</vt:lpstr>
      <vt:lpstr>Eredivisie 95</vt:lpstr>
      <vt:lpstr>Eredivisie AT</vt:lpstr>
      <vt:lpstr>Liga NOS 1995</vt:lpstr>
      <vt:lpstr>Liga NOS 1955</vt:lpstr>
      <vt:lpstr>Liga NOS AT</vt:lpstr>
      <vt:lpstr> Nemzeti Bajnokság I 1994</vt:lpstr>
      <vt:lpstr> Nemzeti Bajnokság I 1955</vt:lpstr>
      <vt:lpstr> Nemzeti Bajnokság I 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Alexandre Hammoudi</cp:lastModifiedBy>
  <dcterms:created xsi:type="dcterms:W3CDTF">2023-05-22T13:14:53Z</dcterms:created>
  <dcterms:modified xsi:type="dcterms:W3CDTF">2026-10-19T18:02:27Z</dcterms:modified>
</cp:coreProperties>
</file>